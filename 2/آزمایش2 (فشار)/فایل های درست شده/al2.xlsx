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bookViews>
    <workbookView xWindow="-108" yWindow="-108" windowWidth="19416" windowHeight="10416"/>
  </bookViews>
  <sheets>
    <sheet name="SMT Data Report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1" l="1"/>
  <c r="G58" i="1"/>
  <c r="G59" i="1"/>
  <c r="G60" i="1"/>
  <c r="G61" i="1"/>
  <c r="G62" i="1"/>
  <c r="G63" i="1"/>
  <c r="G64" i="1"/>
  <c r="G65" i="1"/>
  <c r="G66" i="1"/>
  <c r="G67" i="1"/>
  <c r="G68" i="1"/>
  <c r="G69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34" i="1"/>
  <c r="D25" i="1" l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24" i="1"/>
  <c r="F22" i="1"/>
  <c r="E24" i="1"/>
  <c r="C25" i="1"/>
  <c r="C26" i="1"/>
  <c r="C27" i="1"/>
  <c r="C28" i="1"/>
  <c r="E28" i="1" s="1"/>
  <c r="C29" i="1"/>
  <c r="F29" i="1" s="1"/>
  <c r="C30" i="1"/>
  <c r="C31" i="1"/>
  <c r="C32" i="1"/>
  <c r="E32" i="1" s="1"/>
  <c r="C33" i="1"/>
  <c r="C34" i="1"/>
  <c r="C35" i="1"/>
  <c r="C36" i="1"/>
  <c r="E36" i="1" s="1"/>
  <c r="C37" i="1"/>
  <c r="F37" i="1" s="1"/>
  <c r="C38" i="1"/>
  <c r="C39" i="1"/>
  <c r="C40" i="1"/>
  <c r="E40" i="1" s="1"/>
  <c r="C41" i="1"/>
  <c r="C42" i="1"/>
  <c r="E42" i="1" s="1"/>
  <c r="C43" i="1"/>
  <c r="C44" i="1"/>
  <c r="E44" i="1" s="1"/>
  <c r="C45" i="1"/>
  <c r="F45" i="1" s="1"/>
  <c r="C46" i="1"/>
  <c r="C47" i="1"/>
  <c r="C48" i="1"/>
  <c r="E48" i="1" s="1"/>
  <c r="C49" i="1"/>
  <c r="C50" i="1"/>
  <c r="C51" i="1"/>
  <c r="C52" i="1"/>
  <c r="E52" i="1" s="1"/>
  <c r="C53" i="1"/>
  <c r="F53" i="1" s="1"/>
  <c r="C54" i="1"/>
  <c r="C55" i="1"/>
  <c r="C56" i="1"/>
  <c r="E56" i="1" s="1"/>
  <c r="C57" i="1"/>
  <c r="C58" i="1"/>
  <c r="C59" i="1"/>
  <c r="C60" i="1"/>
  <c r="E60" i="1" s="1"/>
  <c r="C61" i="1"/>
  <c r="F61" i="1" s="1"/>
  <c r="C62" i="1"/>
  <c r="C63" i="1"/>
  <c r="E63" i="1" s="1"/>
  <c r="C64" i="1"/>
  <c r="E64" i="1" s="1"/>
  <c r="C65" i="1"/>
  <c r="C66" i="1"/>
  <c r="C67" i="1"/>
  <c r="C68" i="1"/>
  <c r="E68" i="1" s="1"/>
  <c r="C69" i="1"/>
  <c r="F69" i="1" s="1"/>
  <c r="C70" i="1"/>
  <c r="C71" i="1"/>
  <c r="C72" i="1"/>
  <c r="E72" i="1" s="1"/>
  <c r="C73" i="1"/>
  <c r="C74" i="1"/>
  <c r="C75" i="1"/>
  <c r="C76" i="1"/>
  <c r="E76" i="1" s="1"/>
  <c r="C77" i="1"/>
  <c r="F77" i="1" s="1"/>
  <c r="C78" i="1"/>
  <c r="C79" i="1"/>
  <c r="C80" i="1"/>
  <c r="E80" i="1" s="1"/>
  <c r="C81" i="1"/>
  <c r="C82" i="1"/>
  <c r="C83" i="1"/>
  <c r="C84" i="1"/>
  <c r="E84" i="1" s="1"/>
  <c r="C85" i="1"/>
  <c r="E85" i="1" s="1"/>
  <c r="C86" i="1"/>
  <c r="C87" i="1"/>
  <c r="C88" i="1"/>
  <c r="E88" i="1" s="1"/>
  <c r="C89" i="1"/>
  <c r="C90" i="1"/>
  <c r="C91" i="1"/>
  <c r="F91" i="1" s="1"/>
  <c r="C92" i="1"/>
  <c r="E92" i="1" s="1"/>
  <c r="C93" i="1"/>
  <c r="C94" i="1"/>
  <c r="C95" i="1"/>
  <c r="C96" i="1"/>
  <c r="E96" i="1" s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24" i="1"/>
  <c r="E69" i="1" l="1"/>
  <c r="F24" i="1"/>
  <c r="E37" i="1"/>
  <c r="F92" i="1"/>
  <c r="F84" i="1"/>
  <c r="F76" i="1"/>
  <c r="F68" i="1"/>
  <c r="F60" i="1"/>
  <c r="F52" i="1"/>
  <c r="F40" i="1"/>
  <c r="F28" i="1"/>
  <c r="F95" i="1"/>
  <c r="E95" i="1"/>
  <c r="F87" i="1"/>
  <c r="E87" i="1"/>
  <c r="F83" i="1"/>
  <c r="E83" i="1"/>
  <c r="E79" i="1"/>
  <c r="F79" i="1"/>
  <c r="F75" i="1"/>
  <c r="E75" i="1"/>
  <c r="F71" i="1"/>
  <c r="E71" i="1"/>
  <c r="F67" i="1"/>
  <c r="E67" i="1"/>
  <c r="F59" i="1"/>
  <c r="E59" i="1"/>
  <c r="F55" i="1"/>
  <c r="E55" i="1"/>
  <c r="F51" i="1"/>
  <c r="E51" i="1"/>
  <c r="F47" i="1"/>
  <c r="E47" i="1"/>
  <c r="F43" i="1"/>
  <c r="E43" i="1"/>
  <c r="F39" i="1"/>
  <c r="E39" i="1"/>
  <c r="F35" i="1"/>
  <c r="E35" i="1"/>
  <c r="F31" i="1"/>
  <c r="E31" i="1"/>
  <c r="F27" i="1"/>
  <c r="E27" i="1"/>
  <c r="E91" i="1"/>
  <c r="E61" i="1"/>
  <c r="E29" i="1"/>
  <c r="F85" i="1"/>
  <c r="F96" i="1"/>
  <c r="F88" i="1"/>
  <c r="F80" i="1"/>
  <c r="F72" i="1"/>
  <c r="F64" i="1"/>
  <c r="F56" i="1"/>
  <c r="F48" i="1"/>
  <c r="F44" i="1"/>
  <c r="F32" i="1"/>
  <c r="F98" i="1"/>
  <c r="E98" i="1"/>
  <c r="F94" i="1"/>
  <c r="E94" i="1"/>
  <c r="F90" i="1"/>
  <c r="E90" i="1"/>
  <c r="F86" i="1"/>
  <c r="E86" i="1"/>
  <c r="E82" i="1"/>
  <c r="F82" i="1"/>
  <c r="E78" i="1"/>
  <c r="F78" i="1"/>
  <c r="E74" i="1"/>
  <c r="F74" i="1"/>
  <c r="F70" i="1"/>
  <c r="E70" i="1"/>
  <c r="E66" i="1"/>
  <c r="F66" i="1"/>
  <c r="E62" i="1"/>
  <c r="F62" i="1"/>
  <c r="E58" i="1"/>
  <c r="F58" i="1"/>
  <c r="F54" i="1"/>
  <c r="E54" i="1"/>
  <c r="E50" i="1"/>
  <c r="F50" i="1"/>
  <c r="E46" i="1"/>
  <c r="F46" i="1"/>
  <c r="F38" i="1"/>
  <c r="E38" i="1"/>
  <c r="E34" i="1"/>
  <c r="F34" i="1"/>
  <c r="E30" i="1"/>
  <c r="F30" i="1"/>
  <c r="E26" i="1"/>
  <c r="F26" i="1"/>
  <c r="E53" i="1"/>
  <c r="F63" i="1"/>
  <c r="F36" i="1"/>
  <c r="F97" i="1"/>
  <c r="E97" i="1"/>
  <c r="F93" i="1"/>
  <c r="E93" i="1"/>
  <c r="F89" i="1"/>
  <c r="E89" i="1"/>
  <c r="F81" i="1"/>
  <c r="E81" i="1"/>
  <c r="F73" i="1"/>
  <c r="E73" i="1"/>
  <c r="F65" i="1"/>
  <c r="E65" i="1"/>
  <c r="F57" i="1"/>
  <c r="E57" i="1"/>
  <c r="F49" i="1"/>
  <c r="E49" i="1"/>
  <c r="F41" i="1"/>
  <c r="E41" i="1"/>
  <c r="F33" i="1"/>
  <c r="E33" i="1"/>
  <c r="F25" i="1"/>
  <c r="E25" i="1"/>
  <c r="E77" i="1"/>
  <c r="E45" i="1"/>
  <c r="F42" i="1"/>
</calcChain>
</file>

<file path=xl/sharedStrings.xml><?xml version="1.0" encoding="utf-8"?>
<sst xmlns="http://schemas.openxmlformats.org/spreadsheetml/2006/main" count="21" uniqueCount="21">
  <si>
    <t>Santam Machine Controller - Excel Report</t>
  </si>
  <si>
    <t>Test File Name</t>
  </si>
  <si>
    <t>C:\Documents and Settings\akhgar\Desktop\2shanbeh\4\tensile4\al.Ttd</t>
  </si>
  <si>
    <t>Section Type</t>
  </si>
  <si>
    <t>RECTANGULAR</t>
  </si>
  <si>
    <t>Thickness (mm)</t>
  </si>
  <si>
    <t>Width (mm)</t>
  </si>
  <si>
    <t>Gage Length (mm)</t>
  </si>
  <si>
    <t>Sample ID</t>
  </si>
  <si>
    <t>Date/Time</t>
  </si>
  <si>
    <t>Test Mode</t>
  </si>
  <si>
    <t>TENSILE</t>
  </si>
  <si>
    <t>Test Speed (mm/min)</t>
  </si>
  <si>
    <t>Test Duration (Sec)</t>
  </si>
  <si>
    <t>Customer Name</t>
  </si>
  <si>
    <t>Operator Name</t>
  </si>
  <si>
    <t>Version</t>
  </si>
  <si>
    <t>Update Version</t>
  </si>
  <si>
    <t>Received Data</t>
  </si>
  <si>
    <t>Extension Data (mm)</t>
  </si>
  <si>
    <t>Force Data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</si>
</sst>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FA"/>
        <bgColor indexed="64"/>
      </patternFill>
    </fill>
    <fill>
      <patternFill patternType="solid">
        <fgColor rgb="FFDCFAD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/>
    <xf numFmtId="0" fontId="0" fillId="0" borderId="1" xfId="0" applyBorder="1"/>
    <xf numFmtId="0" fontId="1" fillId="2" borderId="1" xfId="0" applyFont="1" applyFill="1" applyBorder="1"/>
    <xf numFmtId="14" fontId="1" fillId="3" borderId="1" xfId="0" applyNumberFormat="1" applyFont="1" applyFill="1" applyBorder="1"/>
    <xf numFmtId="0" fontId="0" fillId="3" borderId="1" xfId="0" applyFill="1" applyBorder="1"/>
    <xf numFmtId="0" fontId="0" fillId="0" borderId="1" xfId="0" applyBorder="1"/>
    <xf numFmtId="0" fontId="0" fillId="0" borderId="1" xfId="0" applyBorder="1"/>
    <xf numFmtId="0" fontId="2" fillId="2" borderId="1" xfId="0" applyFont="1" applyFill="1" applyBorder="1"/>
    <xf numFmtId="0" fontId="1" fillId="3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900299176594911E-2"/>
          <c:y val="0.12546747218998122"/>
          <c:w val="0.90206652672234167"/>
          <c:h val="0.80603162608295786"/>
        </c:manualLayout>
      </c:layout>
      <c:scatterChart>
        <c:scatterStyle val="smoothMarker"/>
        <c:varyColors val="0"/>
        <c:ser>
          <c:idx val="0"/>
          <c:order val="0"/>
          <c:xVal>
            <c:numRef>
              <c:f>'SMT Data Report'!$A$24:$A$382</c:f>
              <c:numCache>
                <c:formatCode>General</c:formatCode>
                <c:ptCount val="359"/>
                <c:pt idx="0">
                  <c:v>0</c:v>
                </c:pt>
                <c:pt idx="1">
                  <c:v>0</c:v>
                </c:pt>
                <c:pt idx="2">
                  <c:v>1.1999999999999999E-3</c:v>
                </c:pt>
                <c:pt idx="3">
                  <c:v>8.5000000000000006E-3</c:v>
                </c:pt>
                <c:pt idx="4">
                  <c:v>2.1999999999999999E-2</c:v>
                </c:pt>
                <c:pt idx="5">
                  <c:v>3.49E-2</c:v>
                </c:pt>
                <c:pt idx="6">
                  <c:v>4.7600000000000003E-2</c:v>
                </c:pt>
                <c:pt idx="7">
                  <c:v>6.0400000000000002E-2</c:v>
                </c:pt>
                <c:pt idx="8">
                  <c:v>7.2499999999999995E-2</c:v>
                </c:pt>
                <c:pt idx="9">
                  <c:v>8.6800000000000002E-2</c:v>
                </c:pt>
                <c:pt idx="10">
                  <c:v>9.9599999999999994E-2</c:v>
                </c:pt>
                <c:pt idx="11">
                  <c:v>0.11219999999999999</c:v>
                </c:pt>
                <c:pt idx="12">
                  <c:v>0.12520000000000001</c:v>
                </c:pt>
                <c:pt idx="13">
                  <c:v>0.13780000000000001</c:v>
                </c:pt>
                <c:pt idx="14">
                  <c:v>0.15190000000000001</c:v>
                </c:pt>
                <c:pt idx="15">
                  <c:v>0.16450000000000001</c:v>
                </c:pt>
                <c:pt idx="16">
                  <c:v>0.17710000000000001</c:v>
                </c:pt>
                <c:pt idx="17">
                  <c:v>0.1898</c:v>
                </c:pt>
                <c:pt idx="18">
                  <c:v>0.2021</c:v>
                </c:pt>
                <c:pt idx="19">
                  <c:v>0.21690000000000001</c:v>
                </c:pt>
                <c:pt idx="20">
                  <c:v>0.22919999999999999</c:v>
                </c:pt>
                <c:pt idx="21">
                  <c:v>0.24210000000000001</c:v>
                </c:pt>
                <c:pt idx="22">
                  <c:v>0.25490000000000002</c:v>
                </c:pt>
                <c:pt idx="23">
                  <c:v>0.26919999999999999</c:v>
                </c:pt>
                <c:pt idx="24">
                  <c:v>0.27879999999999999</c:v>
                </c:pt>
                <c:pt idx="25">
                  <c:v>0.29430000000000001</c:v>
                </c:pt>
                <c:pt idx="26">
                  <c:v>0.30709999999999998</c:v>
                </c:pt>
                <c:pt idx="27">
                  <c:v>0.3196</c:v>
                </c:pt>
                <c:pt idx="28">
                  <c:v>0.33389999999999997</c:v>
                </c:pt>
                <c:pt idx="29">
                  <c:v>0.3468</c:v>
                </c:pt>
                <c:pt idx="30">
                  <c:v>0.3594</c:v>
                </c:pt>
                <c:pt idx="31">
                  <c:v>0.37219999999999998</c:v>
                </c:pt>
                <c:pt idx="32">
                  <c:v>0.3846</c:v>
                </c:pt>
                <c:pt idx="33">
                  <c:v>0.39889999999999998</c:v>
                </c:pt>
                <c:pt idx="34">
                  <c:v>0.41170000000000001</c:v>
                </c:pt>
                <c:pt idx="35">
                  <c:v>0.42430000000000001</c:v>
                </c:pt>
                <c:pt idx="36">
                  <c:v>0.43690000000000001</c:v>
                </c:pt>
                <c:pt idx="37">
                  <c:v>0.45140000000000002</c:v>
                </c:pt>
                <c:pt idx="38">
                  <c:v>0.46410000000000001</c:v>
                </c:pt>
                <c:pt idx="39">
                  <c:v>0.47670000000000001</c:v>
                </c:pt>
                <c:pt idx="40">
                  <c:v>0.48959999999999998</c:v>
                </c:pt>
                <c:pt idx="41">
                  <c:v>0.50190000000000001</c:v>
                </c:pt>
                <c:pt idx="42">
                  <c:v>0.51639999999999997</c:v>
                </c:pt>
                <c:pt idx="43">
                  <c:v>0.52890000000000004</c:v>
                </c:pt>
                <c:pt idx="44">
                  <c:v>0.54179999999999995</c:v>
                </c:pt>
                <c:pt idx="45">
                  <c:v>0.55430000000000001</c:v>
                </c:pt>
                <c:pt idx="46">
                  <c:v>0.56820000000000004</c:v>
                </c:pt>
                <c:pt idx="47">
                  <c:v>0.58140000000000003</c:v>
                </c:pt>
                <c:pt idx="48">
                  <c:v>0.59389999999999998</c:v>
                </c:pt>
                <c:pt idx="49">
                  <c:v>0.60670000000000002</c:v>
                </c:pt>
                <c:pt idx="50">
                  <c:v>0.61939999999999995</c:v>
                </c:pt>
                <c:pt idx="51">
                  <c:v>0.63390000000000002</c:v>
                </c:pt>
                <c:pt idx="52">
                  <c:v>0.64649999999999996</c:v>
                </c:pt>
                <c:pt idx="53">
                  <c:v>0.65900000000000003</c:v>
                </c:pt>
                <c:pt idx="54">
                  <c:v>0.67179999999999995</c:v>
                </c:pt>
                <c:pt idx="55">
                  <c:v>0.68420000000000003</c:v>
                </c:pt>
                <c:pt idx="56">
                  <c:v>0.69889999999999997</c:v>
                </c:pt>
                <c:pt idx="57">
                  <c:v>0.71160000000000001</c:v>
                </c:pt>
                <c:pt idx="58">
                  <c:v>0.72419999999999995</c:v>
                </c:pt>
                <c:pt idx="59">
                  <c:v>0.73660000000000003</c:v>
                </c:pt>
                <c:pt idx="60">
                  <c:v>0.75070000000000003</c:v>
                </c:pt>
                <c:pt idx="61">
                  <c:v>0.76390000000000002</c:v>
                </c:pt>
                <c:pt idx="62">
                  <c:v>0.77629999999999999</c:v>
                </c:pt>
                <c:pt idx="63">
                  <c:v>0.78900000000000003</c:v>
                </c:pt>
                <c:pt idx="64">
                  <c:v>0.80159999999999998</c:v>
                </c:pt>
                <c:pt idx="65">
                  <c:v>0.81569999999999998</c:v>
                </c:pt>
                <c:pt idx="66">
                  <c:v>0.8286</c:v>
                </c:pt>
                <c:pt idx="67">
                  <c:v>0.84099999999999997</c:v>
                </c:pt>
                <c:pt idx="68">
                  <c:v>0.85409999999999997</c:v>
                </c:pt>
                <c:pt idx="69">
                  <c:v>0.86809999999999998</c:v>
                </c:pt>
                <c:pt idx="70">
                  <c:v>0.88070000000000004</c:v>
                </c:pt>
                <c:pt idx="71">
                  <c:v>0.89339999999999997</c:v>
                </c:pt>
                <c:pt idx="72">
                  <c:v>0.90600000000000003</c:v>
                </c:pt>
                <c:pt idx="73">
                  <c:v>0.91890000000000005</c:v>
                </c:pt>
                <c:pt idx="74">
                  <c:v>0.93320000000000003</c:v>
                </c:pt>
                <c:pt idx="75">
                  <c:v>0.94540000000000002</c:v>
                </c:pt>
                <c:pt idx="76">
                  <c:v>0.95840000000000003</c:v>
                </c:pt>
                <c:pt idx="77">
                  <c:v>0.97099999999999997</c:v>
                </c:pt>
                <c:pt idx="78">
                  <c:v>0.98360000000000003</c:v>
                </c:pt>
                <c:pt idx="79">
                  <c:v>0.998</c:v>
                </c:pt>
                <c:pt idx="80">
                  <c:v>1.0106999999999999</c:v>
                </c:pt>
                <c:pt idx="81">
                  <c:v>1.0236000000000001</c:v>
                </c:pt>
                <c:pt idx="82">
                  <c:v>1.036</c:v>
                </c:pt>
                <c:pt idx="83">
                  <c:v>1.0503</c:v>
                </c:pt>
                <c:pt idx="84">
                  <c:v>1.0631999999999999</c:v>
                </c:pt>
                <c:pt idx="85">
                  <c:v>1.0757000000000001</c:v>
                </c:pt>
                <c:pt idx="86">
                  <c:v>1.0888</c:v>
                </c:pt>
                <c:pt idx="87">
                  <c:v>1.1009</c:v>
                </c:pt>
                <c:pt idx="88">
                  <c:v>1.1153999999999999</c:v>
                </c:pt>
                <c:pt idx="89">
                  <c:v>1.1279999999999999</c:v>
                </c:pt>
                <c:pt idx="90">
                  <c:v>1.1412</c:v>
                </c:pt>
                <c:pt idx="91">
                  <c:v>1.1537999999999999</c:v>
                </c:pt>
                <c:pt idx="92">
                  <c:v>1.1677</c:v>
                </c:pt>
                <c:pt idx="93">
                  <c:v>1.1803999999999999</c:v>
                </c:pt>
                <c:pt idx="94">
                  <c:v>1.1929000000000001</c:v>
                </c:pt>
                <c:pt idx="95">
                  <c:v>1.2054</c:v>
                </c:pt>
                <c:pt idx="96">
                  <c:v>1.218</c:v>
                </c:pt>
                <c:pt idx="97">
                  <c:v>1.2323</c:v>
                </c:pt>
                <c:pt idx="98">
                  <c:v>1.2453000000000001</c:v>
                </c:pt>
                <c:pt idx="99">
                  <c:v>1.2578</c:v>
                </c:pt>
                <c:pt idx="100">
                  <c:v>1.2704</c:v>
                </c:pt>
                <c:pt idx="101">
                  <c:v>1.2830999999999999</c:v>
                </c:pt>
                <c:pt idx="102">
                  <c:v>1.2974000000000001</c:v>
                </c:pt>
                <c:pt idx="103">
                  <c:v>1.31</c:v>
                </c:pt>
                <c:pt idx="104">
                  <c:v>1.3228</c:v>
                </c:pt>
                <c:pt idx="105">
                  <c:v>1.3354999999999999</c:v>
                </c:pt>
                <c:pt idx="106">
                  <c:v>1.3499000000000001</c:v>
                </c:pt>
                <c:pt idx="107">
                  <c:v>1.3625</c:v>
                </c:pt>
                <c:pt idx="108">
                  <c:v>1.375</c:v>
                </c:pt>
                <c:pt idx="109">
                  <c:v>1.3875999999999999</c:v>
                </c:pt>
                <c:pt idx="110">
                  <c:v>1.4003000000000001</c:v>
                </c:pt>
                <c:pt idx="111">
                  <c:v>1.4146000000000001</c:v>
                </c:pt>
                <c:pt idx="112">
                  <c:v>1.4274</c:v>
                </c:pt>
                <c:pt idx="113">
                  <c:v>1.4399</c:v>
                </c:pt>
                <c:pt idx="114">
                  <c:v>1.4531000000000001</c:v>
                </c:pt>
                <c:pt idx="115">
                  <c:v>1.4656</c:v>
                </c:pt>
                <c:pt idx="116">
                  <c:v>1.48</c:v>
                </c:pt>
                <c:pt idx="117">
                  <c:v>1.4923999999999999</c:v>
                </c:pt>
                <c:pt idx="118">
                  <c:v>1.5054000000000001</c:v>
                </c:pt>
                <c:pt idx="119">
                  <c:v>1.5178</c:v>
                </c:pt>
                <c:pt idx="120">
                  <c:v>1.5318000000000001</c:v>
                </c:pt>
                <c:pt idx="121">
                  <c:v>1.5448</c:v>
                </c:pt>
                <c:pt idx="122">
                  <c:v>1.5572999999999999</c:v>
                </c:pt>
                <c:pt idx="123">
                  <c:v>1.5702</c:v>
                </c:pt>
                <c:pt idx="124">
                  <c:v>1.5827</c:v>
                </c:pt>
                <c:pt idx="125">
                  <c:v>1.5971</c:v>
                </c:pt>
                <c:pt idx="126">
                  <c:v>1.6096999999999999</c:v>
                </c:pt>
                <c:pt idx="127">
                  <c:v>1.6222000000000001</c:v>
                </c:pt>
                <c:pt idx="128">
                  <c:v>1.635</c:v>
                </c:pt>
                <c:pt idx="129">
                  <c:v>1.6494</c:v>
                </c:pt>
                <c:pt idx="130">
                  <c:v>1.6620999999999999</c:v>
                </c:pt>
                <c:pt idx="131">
                  <c:v>1.6747000000000001</c:v>
                </c:pt>
                <c:pt idx="132">
                  <c:v>1.6877</c:v>
                </c:pt>
                <c:pt idx="133">
                  <c:v>1.7001999999999999</c:v>
                </c:pt>
                <c:pt idx="134">
                  <c:v>1.7143999999999999</c:v>
                </c:pt>
                <c:pt idx="135">
                  <c:v>1.7270000000000001</c:v>
                </c:pt>
                <c:pt idx="136">
                  <c:v>1.7394000000000001</c:v>
                </c:pt>
                <c:pt idx="137">
                  <c:v>1.7523</c:v>
                </c:pt>
                <c:pt idx="138">
                  <c:v>1.7649999999999999</c:v>
                </c:pt>
                <c:pt idx="139">
                  <c:v>1.7791999999999999</c:v>
                </c:pt>
                <c:pt idx="140">
                  <c:v>1.7919</c:v>
                </c:pt>
                <c:pt idx="141">
                  <c:v>1.8046</c:v>
                </c:pt>
                <c:pt idx="142">
                  <c:v>1.8172999999999999</c:v>
                </c:pt>
                <c:pt idx="143">
                  <c:v>1.8314999999999999</c:v>
                </c:pt>
                <c:pt idx="144">
                  <c:v>1.8441000000000001</c:v>
                </c:pt>
                <c:pt idx="145">
                  <c:v>1.857</c:v>
                </c:pt>
                <c:pt idx="146">
                  <c:v>1.8695999999999999</c:v>
                </c:pt>
                <c:pt idx="147">
                  <c:v>1.8821000000000001</c:v>
                </c:pt>
                <c:pt idx="148">
                  <c:v>1.8965000000000001</c:v>
                </c:pt>
                <c:pt idx="149">
                  <c:v>1.909</c:v>
                </c:pt>
                <c:pt idx="150">
                  <c:v>1.9220999999999999</c:v>
                </c:pt>
                <c:pt idx="151">
                  <c:v>1.9343999999999999</c:v>
                </c:pt>
                <c:pt idx="152">
                  <c:v>1.9491000000000001</c:v>
                </c:pt>
                <c:pt idx="153">
                  <c:v>1.9615</c:v>
                </c:pt>
                <c:pt idx="154">
                  <c:v>1.9742</c:v>
                </c:pt>
                <c:pt idx="155">
                  <c:v>1.9870000000000001</c:v>
                </c:pt>
                <c:pt idx="156">
                  <c:v>1.9996</c:v>
                </c:pt>
                <c:pt idx="157">
                  <c:v>2.0143</c:v>
                </c:pt>
                <c:pt idx="158">
                  <c:v>2.0268000000000002</c:v>
                </c:pt>
                <c:pt idx="159">
                  <c:v>2.0396000000000001</c:v>
                </c:pt>
                <c:pt idx="160">
                  <c:v>2.0520999999999998</c:v>
                </c:pt>
                <c:pt idx="161">
                  <c:v>2.0647000000000002</c:v>
                </c:pt>
                <c:pt idx="162">
                  <c:v>2.0792000000000002</c:v>
                </c:pt>
                <c:pt idx="163">
                  <c:v>2.0914000000000001</c:v>
                </c:pt>
                <c:pt idx="164">
                  <c:v>2.1040999999999999</c:v>
                </c:pt>
                <c:pt idx="165">
                  <c:v>2.1168999999999998</c:v>
                </c:pt>
                <c:pt idx="166">
                  <c:v>2.1307999999999998</c:v>
                </c:pt>
                <c:pt idx="167">
                  <c:v>2.1438999999999999</c:v>
                </c:pt>
                <c:pt idx="168">
                  <c:v>2.1564000000000001</c:v>
                </c:pt>
                <c:pt idx="169">
                  <c:v>2.1690999999999998</c:v>
                </c:pt>
                <c:pt idx="170">
                  <c:v>2.1817000000000002</c:v>
                </c:pt>
                <c:pt idx="171">
                  <c:v>2.1959</c:v>
                </c:pt>
                <c:pt idx="172">
                  <c:v>2.2086999999999999</c:v>
                </c:pt>
                <c:pt idx="173">
                  <c:v>2.2212999999999998</c:v>
                </c:pt>
                <c:pt idx="174">
                  <c:v>2.2342</c:v>
                </c:pt>
                <c:pt idx="175">
                  <c:v>2.2486000000000002</c:v>
                </c:pt>
                <c:pt idx="176">
                  <c:v>2.2606000000000002</c:v>
                </c:pt>
                <c:pt idx="177">
                  <c:v>2.2736000000000001</c:v>
                </c:pt>
                <c:pt idx="178">
                  <c:v>2.2862</c:v>
                </c:pt>
                <c:pt idx="179">
                  <c:v>2.2988</c:v>
                </c:pt>
                <c:pt idx="180">
                  <c:v>2.3132000000000001</c:v>
                </c:pt>
                <c:pt idx="181">
                  <c:v>2.3258999999999999</c:v>
                </c:pt>
                <c:pt idx="182">
                  <c:v>2.3386999999999998</c:v>
                </c:pt>
                <c:pt idx="183">
                  <c:v>2.3513000000000002</c:v>
                </c:pt>
                <c:pt idx="184">
                  <c:v>2.3639999999999999</c:v>
                </c:pt>
                <c:pt idx="185">
                  <c:v>2.3786</c:v>
                </c:pt>
                <c:pt idx="186">
                  <c:v>2.3908999999999998</c:v>
                </c:pt>
                <c:pt idx="187">
                  <c:v>2.4039000000000001</c:v>
                </c:pt>
                <c:pt idx="188">
                  <c:v>2.4163999999999999</c:v>
                </c:pt>
                <c:pt idx="189">
                  <c:v>2.4306000000000001</c:v>
                </c:pt>
                <c:pt idx="190">
                  <c:v>2.4434</c:v>
                </c:pt>
                <c:pt idx="191">
                  <c:v>2.456</c:v>
                </c:pt>
                <c:pt idx="192">
                  <c:v>2.4689000000000001</c:v>
                </c:pt>
                <c:pt idx="193">
                  <c:v>2.4811999999999999</c:v>
                </c:pt>
                <c:pt idx="194">
                  <c:v>2.4956999999999998</c:v>
                </c:pt>
                <c:pt idx="195">
                  <c:v>2.508</c:v>
                </c:pt>
                <c:pt idx="196">
                  <c:v>2.5207999999999999</c:v>
                </c:pt>
                <c:pt idx="197">
                  <c:v>2.5333999999999999</c:v>
                </c:pt>
                <c:pt idx="198">
                  <c:v>2.5476999999999999</c:v>
                </c:pt>
                <c:pt idx="199">
                  <c:v>2.5607000000000002</c:v>
                </c:pt>
                <c:pt idx="200">
                  <c:v>2.573</c:v>
                </c:pt>
                <c:pt idx="201">
                  <c:v>2.5857000000000001</c:v>
                </c:pt>
                <c:pt idx="202">
                  <c:v>2.5987</c:v>
                </c:pt>
                <c:pt idx="203">
                  <c:v>2.6126999999999998</c:v>
                </c:pt>
                <c:pt idx="204">
                  <c:v>2.6254</c:v>
                </c:pt>
                <c:pt idx="205">
                  <c:v>2.6381999999999999</c:v>
                </c:pt>
                <c:pt idx="206">
                  <c:v>2.6507999999999998</c:v>
                </c:pt>
                <c:pt idx="207">
                  <c:v>2.6636000000000002</c:v>
                </c:pt>
                <c:pt idx="208">
                  <c:v>2.6776</c:v>
                </c:pt>
                <c:pt idx="209">
                  <c:v>2.6907000000000001</c:v>
                </c:pt>
                <c:pt idx="210">
                  <c:v>2.7031000000000001</c:v>
                </c:pt>
                <c:pt idx="211">
                  <c:v>2.7157</c:v>
                </c:pt>
                <c:pt idx="212">
                  <c:v>2.73</c:v>
                </c:pt>
                <c:pt idx="213">
                  <c:v>2.7427000000000001</c:v>
                </c:pt>
                <c:pt idx="214">
                  <c:v>2.7557</c:v>
                </c:pt>
                <c:pt idx="215">
                  <c:v>2.7682000000000002</c:v>
                </c:pt>
                <c:pt idx="216">
                  <c:v>2.7808999999999999</c:v>
                </c:pt>
                <c:pt idx="217">
                  <c:v>2.7951999999999999</c:v>
                </c:pt>
                <c:pt idx="218">
                  <c:v>2.8073999999999999</c:v>
                </c:pt>
                <c:pt idx="219">
                  <c:v>2.8203999999999998</c:v>
                </c:pt>
                <c:pt idx="220">
                  <c:v>2.8328000000000002</c:v>
                </c:pt>
                <c:pt idx="221">
                  <c:v>2.8473000000000002</c:v>
                </c:pt>
                <c:pt idx="222">
                  <c:v>2.86</c:v>
                </c:pt>
                <c:pt idx="223">
                  <c:v>2.8725999999999998</c:v>
                </c:pt>
                <c:pt idx="224">
                  <c:v>2.8853</c:v>
                </c:pt>
                <c:pt idx="225">
                  <c:v>2.8980999999999999</c:v>
                </c:pt>
                <c:pt idx="226">
                  <c:v>2.9125000000000001</c:v>
                </c:pt>
                <c:pt idx="227">
                  <c:v>2.9249999999999998</c:v>
                </c:pt>
                <c:pt idx="228">
                  <c:v>2.9377</c:v>
                </c:pt>
                <c:pt idx="229">
                  <c:v>2.9504000000000001</c:v>
                </c:pt>
                <c:pt idx="230">
                  <c:v>2.9630999999999998</c:v>
                </c:pt>
                <c:pt idx="231">
                  <c:v>2.9775</c:v>
                </c:pt>
                <c:pt idx="232">
                  <c:v>2.99</c:v>
                </c:pt>
                <c:pt idx="233">
                  <c:v>3.0028000000000001</c:v>
                </c:pt>
                <c:pt idx="234">
                  <c:v>3.0154999999999998</c:v>
                </c:pt>
                <c:pt idx="235">
                  <c:v>3.0297999999999998</c:v>
                </c:pt>
                <c:pt idx="236">
                  <c:v>3.0425</c:v>
                </c:pt>
                <c:pt idx="237">
                  <c:v>3.0550000000000002</c:v>
                </c:pt>
                <c:pt idx="238">
                  <c:v>3.0678000000000001</c:v>
                </c:pt>
                <c:pt idx="239">
                  <c:v>3.0804</c:v>
                </c:pt>
                <c:pt idx="240">
                  <c:v>3.0948000000000002</c:v>
                </c:pt>
                <c:pt idx="241">
                  <c:v>3.1078000000000001</c:v>
                </c:pt>
                <c:pt idx="242">
                  <c:v>3.1204999999999998</c:v>
                </c:pt>
                <c:pt idx="243">
                  <c:v>3.1331000000000002</c:v>
                </c:pt>
                <c:pt idx="244">
                  <c:v>3.1453000000000002</c:v>
                </c:pt>
                <c:pt idx="245">
                  <c:v>3.1596000000000002</c:v>
                </c:pt>
                <c:pt idx="246">
                  <c:v>3.1724000000000001</c:v>
                </c:pt>
                <c:pt idx="247">
                  <c:v>3.1848999999999998</c:v>
                </c:pt>
                <c:pt idx="248">
                  <c:v>3.1979000000000002</c:v>
                </c:pt>
                <c:pt idx="249">
                  <c:v>3.2121</c:v>
                </c:pt>
                <c:pt idx="250">
                  <c:v>3.2250000000000001</c:v>
                </c:pt>
                <c:pt idx="251">
                  <c:v>3.2382</c:v>
                </c:pt>
                <c:pt idx="252">
                  <c:v>3.2505999999999999</c:v>
                </c:pt>
                <c:pt idx="253">
                  <c:v>3.2633999999999999</c:v>
                </c:pt>
                <c:pt idx="254">
                  <c:v>3.2774999999999999</c:v>
                </c:pt>
                <c:pt idx="255">
                  <c:v>3.2902</c:v>
                </c:pt>
                <c:pt idx="256">
                  <c:v>3.3029000000000002</c:v>
                </c:pt>
                <c:pt idx="257">
                  <c:v>3.3155000000000001</c:v>
                </c:pt>
                <c:pt idx="258">
                  <c:v>3.3300999999999998</c:v>
                </c:pt>
                <c:pt idx="259">
                  <c:v>3.3426</c:v>
                </c:pt>
                <c:pt idx="260">
                  <c:v>3.3553000000000002</c:v>
                </c:pt>
                <c:pt idx="261">
                  <c:v>3.3675999999999999</c:v>
                </c:pt>
                <c:pt idx="262">
                  <c:v>3.3803999999999998</c:v>
                </c:pt>
                <c:pt idx="263">
                  <c:v>3.3948</c:v>
                </c:pt>
                <c:pt idx="264">
                  <c:v>3.4075000000000002</c:v>
                </c:pt>
                <c:pt idx="265">
                  <c:v>3.4203000000000001</c:v>
                </c:pt>
                <c:pt idx="266">
                  <c:v>3.4329000000000001</c:v>
                </c:pt>
                <c:pt idx="267">
                  <c:v>3.4453999999999998</c:v>
                </c:pt>
                <c:pt idx="268">
                  <c:v>3.4597000000000002</c:v>
                </c:pt>
                <c:pt idx="269">
                  <c:v>3.4721000000000002</c:v>
                </c:pt>
                <c:pt idx="270">
                  <c:v>3.4849000000000001</c:v>
                </c:pt>
                <c:pt idx="271">
                  <c:v>3.4975000000000001</c:v>
                </c:pt>
                <c:pt idx="272">
                  <c:v>3.5118</c:v>
                </c:pt>
                <c:pt idx="273">
                  <c:v>3.5244</c:v>
                </c:pt>
                <c:pt idx="274">
                  <c:v>3.5371999999999999</c:v>
                </c:pt>
                <c:pt idx="275">
                  <c:v>3.5501999999999998</c:v>
                </c:pt>
                <c:pt idx="276">
                  <c:v>3.5629</c:v>
                </c:pt>
                <c:pt idx="277">
                  <c:v>3.5767000000000002</c:v>
                </c:pt>
                <c:pt idx="278">
                  <c:v>3.5893000000000002</c:v>
                </c:pt>
                <c:pt idx="279">
                  <c:v>3.6021000000000001</c:v>
                </c:pt>
                <c:pt idx="280">
                  <c:v>3.6147999999999998</c:v>
                </c:pt>
                <c:pt idx="281">
                  <c:v>3.629</c:v>
                </c:pt>
                <c:pt idx="282">
                  <c:v>3.6419000000000001</c:v>
                </c:pt>
                <c:pt idx="283">
                  <c:v>3.6549</c:v>
                </c:pt>
                <c:pt idx="284">
                  <c:v>3.6673</c:v>
                </c:pt>
                <c:pt idx="285">
                  <c:v>3.6797</c:v>
                </c:pt>
                <c:pt idx="286">
                  <c:v>3.6941999999999999</c:v>
                </c:pt>
                <c:pt idx="287">
                  <c:v>3.7065999999999999</c:v>
                </c:pt>
                <c:pt idx="288">
                  <c:v>3.7193999999999998</c:v>
                </c:pt>
                <c:pt idx="289">
                  <c:v>3.7319</c:v>
                </c:pt>
                <c:pt idx="290">
                  <c:v>3.7448999999999999</c:v>
                </c:pt>
                <c:pt idx="291">
                  <c:v>3.7593000000000001</c:v>
                </c:pt>
                <c:pt idx="292">
                  <c:v>3.7721</c:v>
                </c:pt>
                <c:pt idx="293">
                  <c:v>3.7850000000000001</c:v>
                </c:pt>
                <c:pt idx="294">
                  <c:v>3.7974999999999999</c:v>
                </c:pt>
                <c:pt idx="295">
                  <c:v>3.8115999999999999</c:v>
                </c:pt>
                <c:pt idx="296">
                  <c:v>3.8243</c:v>
                </c:pt>
                <c:pt idx="297">
                  <c:v>3.8371</c:v>
                </c:pt>
                <c:pt idx="298">
                  <c:v>3.8494000000000002</c:v>
                </c:pt>
                <c:pt idx="299">
                  <c:v>3.8618000000000001</c:v>
                </c:pt>
                <c:pt idx="300">
                  <c:v>3.8761000000000001</c:v>
                </c:pt>
                <c:pt idx="301">
                  <c:v>3.8887</c:v>
                </c:pt>
                <c:pt idx="302">
                  <c:v>3.9014000000000002</c:v>
                </c:pt>
                <c:pt idx="303">
                  <c:v>3.9138000000000002</c:v>
                </c:pt>
                <c:pt idx="304">
                  <c:v>3.9283999999999999</c:v>
                </c:pt>
                <c:pt idx="305">
                  <c:v>3.9413</c:v>
                </c:pt>
                <c:pt idx="306">
                  <c:v>3.9537</c:v>
                </c:pt>
                <c:pt idx="307">
                  <c:v>3.9664999999999999</c:v>
                </c:pt>
                <c:pt idx="308">
                  <c:v>3.9790000000000001</c:v>
                </c:pt>
                <c:pt idx="309">
                  <c:v>3.9933000000000001</c:v>
                </c:pt>
                <c:pt idx="310">
                  <c:v>4.0061</c:v>
                </c:pt>
                <c:pt idx="311">
                  <c:v>4.0183</c:v>
                </c:pt>
                <c:pt idx="312">
                  <c:v>4.0313999999999997</c:v>
                </c:pt>
                <c:pt idx="313">
                  <c:v>4.0438000000000001</c:v>
                </c:pt>
                <c:pt idx="314">
                  <c:v>4.0582000000000003</c:v>
                </c:pt>
                <c:pt idx="315">
                  <c:v>4.0709</c:v>
                </c:pt>
                <c:pt idx="316">
                  <c:v>4.0835999999999997</c:v>
                </c:pt>
                <c:pt idx="317">
                  <c:v>4.0965999999999996</c:v>
                </c:pt>
                <c:pt idx="318">
                  <c:v>4.1109</c:v>
                </c:pt>
                <c:pt idx="319">
                  <c:v>4.1235999999999997</c:v>
                </c:pt>
                <c:pt idx="320">
                  <c:v>4.1364000000000001</c:v>
                </c:pt>
                <c:pt idx="321">
                  <c:v>4.1489000000000003</c:v>
                </c:pt>
                <c:pt idx="322">
                  <c:v>4.1615000000000002</c:v>
                </c:pt>
                <c:pt idx="323">
                  <c:v>4.1757999999999997</c:v>
                </c:pt>
                <c:pt idx="324">
                  <c:v>4.1883999999999997</c:v>
                </c:pt>
                <c:pt idx="325">
                  <c:v>4.2011000000000003</c:v>
                </c:pt>
                <c:pt idx="326">
                  <c:v>4.2138</c:v>
                </c:pt>
                <c:pt idx="327">
                  <c:v>4.2281000000000004</c:v>
                </c:pt>
                <c:pt idx="328">
                  <c:v>4.2404999999999999</c:v>
                </c:pt>
                <c:pt idx="329">
                  <c:v>4.2534000000000001</c:v>
                </c:pt>
                <c:pt idx="330">
                  <c:v>4.266</c:v>
                </c:pt>
                <c:pt idx="331">
                  <c:v>4.2786</c:v>
                </c:pt>
                <c:pt idx="332">
                  <c:v>4.2930000000000001</c:v>
                </c:pt>
                <c:pt idx="333">
                  <c:v>4.3057999999999996</c:v>
                </c:pt>
                <c:pt idx="334">
                  <c:v>4.3186</c:v>
                </c:pt>
                <c:pt idx="335">
                  <c:v>4.3311999999999999</c:v>
                </c:pt>
                <c:pt idx="336">
                  <c:v>4.3437999999999999</c:v>
                </c:pt>
                <c:pt idx="337">
                  <c:v>4.3578999999999999</c:v>
                </c:pt>
                <c:pt idx="338">
                  <c:v>4.3705999999999996</c:v>
                </c:pt>
                <c:pt idx="339">
                  <c:v>4.3832000000000004</c:v>
                </c:pt>
                <c:pt idx="340">
                  <c:v>4.3956999999999997</c:v>
                </c:pt>
                <c:pt idx="341">
                  <c:v>4.41</c:v>
                </c:pt>
                <c:pt idx="342">
                  <c:v>4.4229000000000003</c:v>
                </c:pt>
                <c:pt idx="343">
                  <c:v>4.4353999999999996</c:v>
                </c:pt>
                <c:pt idx="344">
                  <c:v>4.4482999999999997</c:v>
                </c:pt>
                <c:pt idx="345">
                  <c:v>4.4607000000000001</c:v>
                </c:pt>
                <c:pt idx="346">
                  <c:v>4.4748000000000001</c:v>
                </c:pt>
                <c:pt idx="347">
                  <c:v>4.4878</c:v>
                </c:pt>
                <c:pt idx="348">
                  <c:v>4.5003000000000002</c:v>
                </c:pt>
                <c:pt idx="349">
                  <c:v>4.5130999999999997</c:v>
                </c:pt>
                <c:pt idx="350">
                  <c:v>4.5258000000000003</c:v>
                </c:pt>
                <c:pt idx="351">
                  <c:v>4.5400999999999998</c:v>
                </c:pt>
                <c:pt idx="352">
                  <c:v>4.5529999999999999</c:v>
                </c:pt>
                <c:pt idx="353">
                  <c:v>4.5655000000000001</c:v>
                </c:pt>
                <c:pt idx="354">
                  <c:v>4.5785999999999998</c:v>
                </c:pt>
                <c:pt idx="355">
                  <c:v>4.5926</c:v>
                </c:pt>
                <c:pt idx="356">
                  <c:v>4.6054000000000004</c:v>
                </c:pt>
                <c:pt idx="357">
                  <c:v>4.6181000000000001</c:v>
                </c:pt>
                <c:pt idx="358">
                  <c:v>4.6307</c:v>
                </c:pt>
              </c:numCache>
            </c:numRef>
          </c:xVal>
          <c:yVal>
            <c:numRef>
              <c:f>'SMT Data Report'!$B$24:$B$382</c:f>
              <c:numCache>
                <c:formatCode>General</c:formatCode>
                <c:ptCount val="359"/>
                <c:pt idx="0">
                  <c:v>99.3</c:v>
                </c:pt>
                <c:pt idx="1">
                  <c:v>99.3</c:v>
                </c:pt>
                <c:pt idx="2">
                  <c:v>99.3</c:v>
                </c:pt>
                <c:pt idx="3">
                  <c:v>99.3</c:v>
                </c:pt>
                <c:pt idx="4">
                  <c:v>99.3</c:v>
                </c:pt>
                <c:pt idx="5">
                  <c:v>106.7</c:v>
                </c:pt>
                <c:pt idx="6">
                  <c:v>147.19999999999999</c:v>
                </c:pt>
                <c:pt idx="7">
                  <c:v>235.4</c:v>
                </c:pt>
                <c:pt idx="8">
                  <c:v>382.6</c:v>
                </c:pt>
                <c:pt idx="9">
                  <c:v>581.20000000000005</c:v>
                </c:pt>
                <c:pt idx="10">
                  <c:v>761.5</c:v>
                </c:pt>
                <c:pt idx="11">
                  <c:v>934.4</c:v>
                </c:pt>
                <c:pt idx="12">
                  <c:v>1092.5999999999999</c:v>
                </c:pt>
                <c:pt idx="13">
                  <c:v>1243.4000000000001</c:v>
                </c:pt>
                <c:pt idx="14">
                  <c:v>1401.6</c:v>
                </c:pt>
                <c:pt idx="15">
                  <c:v>1530.4</c:v>
                </c:pt>
                <c:pt idx="16">
                  <c:v>1651.8</c:v>
                </c:pt>
                <c:pt idx="17">
                  <c:v>1765.8</c:v>
                </c:pt>
                <c:pt idx="18">
                  <c:v>1865.1</c:v>
                </c:pt>
                <c:pt idx="19">
                  <c:v>1968.1</c:v>
                </c:pt>
                <c:pt idx="20">
                  <c:v>2049.1</c:v>
                </c:pt>
                <c:pt idx="21">
                  <c:v>2122.6</c:v>
                </c:pt>
                <c:pt idx="22">
                  <c:v>2188.9</c:v>
                </c:pt>
                <c:pt idx="23">
                  <c:v>2255.1</c:v>
                </c:pt>
                <c:pt idx="24">
                  <c:v>2295.5</c:v>
                </c:pt>
                <c:pt idx="25">
                  <c:v>2354.4</c:v>
                </c:pt>
                <c:pt idx="26">
                  <c:v>2394.9</c:v>
                </c:pt>
                <c:pt idx="27">
                  <c:v>2431.6999999999998</c:v>
                </c:pt>
                <c:pt idx="28">
                  <c:v>2464.8000000000002</c:v>
                </c:pt>
                <c:pt idx="29">
                  <c:v>2490.5</c:v>
                </c:pt>
                <c:pt idx="30">
                  <c:v>2512.6</c:v>
                </c:pt>
                <c:pt idx="31">
                  <c:v>2534.6999999999998</c:v>
                </c:pt>
                <c:pt idx="32">
                  <c:v>2553.1</c:v>
                </c:pt>
                <c:pt idx="33">
                  <c:v>2571.4</c:v>
                </c:pt>
                <c:pt idx="34">
                  <c:v>2582.5</c:v>
                </c:pt>
                <c:pt idx="35">
                  <c:v>2593.5</c:v>
                </c:pt>
                <c:pt idx="36">
                  <c:v>2604.6</c:v>
                </c:pt>
                <c:pt idx="37">
                  <c:v>2619.3000000000002</c:v>
                </c:pt>
                <c:pt idx="38">
                  <c:v>2626.6</c:v>
                </c:pt>
                <c:pt idx="39">
                  <c:v>2634</c:v>
                </c:pt>
                <c:pt idx="40">
                  <c:v>2641.3</c:v>
                </c:pt>
                <c:pt idx="41">
                  <c:v>2645</c:v>
                </c:pt>
                <c:pt idx="42">
                  <c:v>2648.7</c:v>
                </c:pt>
                <c:pt idx="43">
                  <c:v>2656.1</c:v>
                </c:pt>
                <c:pt idx="44">
                  <c:v>2659.7</c:v>
                </c:pt>
                <c:pt idx="45">
                  <c:v>2663.4</c:v>
                </c:pt>
                <c:pt idx="46">
                  <c:v>2663.4</c:v>
                </c:pt>
                <c:pt idx="47">
                  <c:v>2667.1</c:v>
                </c:pt>
                <c:pt idx="48">
                  <c:v>2667.1</c:v>
                </c:pt>
                <c:pt idx="49">
                  <c:v>2670.8</c:v>
                </c:pt>
                <c:pt idx="50">
                  <c:v>2670.8</c:v>
                </c:pt>
                <c:pt idx="51">
                  <c:v>2674.5</c:v>
                </c:pt>
                <c:pt idx="52">
                  <c:v>2674.5</c:v>
                </c:pt>
                <c:pt idx="53">
                  <c:v>2674.5</c:v>
                </c:pt>
                <c:pt idx="54">
                  <c:v>2674.5</c:v>
                </c:pt>
                <c:pt idx="55">
                  <c:v>2674.5</c:v>
                </c:pt>
                <c:pt idx="56">
                  <c:v>2674.5</c:v>
                </c:pt>
                <c:pt idx="57">
                  <c:v>2674.5</c:v>
                </c:pt>
                <c:pt idx="58">
                  <c:v>2674.5</c:v>
                </c:pt>
                <c:pt idx="59">
                  <c:v>2674.5</c:v>
                </c:pt>
                <c:pt idx="60">
                  <c:v>2674.5</c:v>
                </c:pt>
                <c:pt idx="61">
                  <c:v>2674.5</c:v>
                </c:pt>
                <c:pt idx="62">
                  <c:v>2670.8</c:v>
                </c:pt>
                <c:pt idx="63">
                  <c:v>2670.8</c:v>
                </c:pt>
                <c:pt idx="64">
                  <c:v>2670.8</c:v>
                </c:pt>
                <c:pt idx="65">
                  <c:v>2670.8</c:v>
                </c:pt>
                <c:pt idx="66">
                  <c:v>2670.8</c:v>
                </c:pt>
                <c:pt idx="67">
                  <c:v>2674.5</c:v>
                </c:pt>
                <c:pt idx="68">
                  <c:v>2674.5</c:v>
                </c:pt>
                <c:pt idx="69">
                  <c:v>2670.8</c:v>
                </c:pt>
                <c:pt idx="70">
                  <c:v>2670.8</c:v>
                </c:pt>
                <c:pt idx="71">
                  <c:v>2667.1</c:v>
                </c:pt>
                <c:pt idx="72">
                  <c:v>2667.1</c:v>
                </c:pt>
                <c:pt idx="73">
                  <c:v>2667.1</c:v>
                </c:pt>
                <c:pt idx="74">
                  <c:v>2667.1</c:v>
                </c:pt>
                <c:pt idx="75">
                  <c:v>2663.4</c:v>
                </c:pt>
                <c:pt idx="76">
                  <c:v>2663.4</c:v>
                </c:pt>
                <c:pt idx="77">
                  <c:v>2659.7</c:v>
                </c:pt>
                <c:pt idx="78">
                  <c:v>2659.7</c:v>
                </c:pt>
                <c:pt idx="79">
                  <c:v>2659.7</c:v>
                </c:pt>
                <c:pt idx="80">
                  <c:v>2656.1</c:v>
                </c:pt>
                <c:pt idx="81">
                  <c:v>2656.1</c:v>
                </c:pt>
                <c:pt idx="82">
                  <c:v>2652.4</c:v>
                </c:pt>
                <c:pt idx="83">
                  <c:v>2648.7</c:v>
                </c:pt>
                <c:pt idx="84">
                  <c:v>2648.7</c:v>
                </c:pt>
                <c:pt idx="85">
                  <c:v>2641.3</c:v>
                </c:pt>
                <c:pt idx="86">
                  <c:v>2637.7</c:v>
                </c:pt>
                <c:pt idx="87">
                  <c:v>2637.7</c:v>
                </c:pt>
                <c:pt idx="88">
                  <c:v>2630.3</c:v>
                </c:pt>
                <c:pt idx="89">
                  <c:v>2626.6</c:v>
                </c:pt>
                <c:pt idx="90">
                  <c:v>2626.6</c:v>
                </c:pt>
                <c:pt idx="91">
                  <c:v>2622.9</c:v>
                </c:pt>
                <c:pt idx="92">
                  <c:v>2619.3000000000002</c:v>
                </c:pt>
                <c:pt idx="93">
                  <c:v>2615.6</c:v>
                </c:pt>
                <c:pt idx="94">
                  <c:v>2611.9</c:v>
                </c:pt>
                <c:pt idx="95">
                  <c:v>2608.1999999999998</c:v>
                </c:pt>
                <c:pt idx="96">
                  <c:v>2604.6</c:v>
                </c:pt>
                <c:pt idx="97">
                  <c:v>2600.9</c:v>
                </c:pt>
                <c:pt idx="98">
                  <c:v>2597.1999999999998</c:v>
                </c:pt>
                <c:pt idx="99">
                  <c:v>2593.5</c:v>
                </c:pt>
                <c:pt idx="100">
                  <c:v>2589.8000000000002</c:v>
                </c:pt>
                <c:pt idx="101">
                  <c:v>2586.1999999999998</c:v>
                </c:pt>
                <c:pt idx="102">
                  <c:v>2582.5</c:v>
                </c:pt>
                <c:pt idx="103">
                  <c:v>2578.8000000000002</c:v>
                </c:pt>
                <c:pt idx="104">
                  <c:v>2575.1</c:v>
                </c:pt>
                <c:pt idx="105">
                  <c:v>2571.4</c:v>
                </c:pt>
                <c:pt idx="106">
                  <c:v>2567.8000000000002</c:v>
                </c:pt>
                <c:pt idx="107">
                  <c:v>2564.1</c:v>
                </c:pt>
                <c:pt idx="108">
                  <c:v>2560.4</c:v>
                </c:pt>
                <c:pt idx="109">
                  <c:v>2556.6999999999998</c:v>
                </c:pt>
                <c:pt idx="110">
                  <c:v>2553.1</c:v>
                </c:pt>
                <c:pt idx="111">
                  <c:v>2549.4</c:v>
                </c:pt>
                <c:pt idx="112">
                  <c:v>2545.6999999999998</c:v>
                </c:pt>
                <c:pt idx="113">
                  <c:v>2542</c:v>
                </c:pt>
                <c:pt idx="114">
                  <c:v>2534.6999999999998</c:v>
                </c:pt>
                <c:pt idx="115">
                  <c:v>2531</c:v>
                </c:pt>
                <c:pt idx="116">
                  <c:v>2527.3000000000002</c:v>
                </c:pt>
                <c:pt idx="117">
                  <c:v>2523.6</c:v>
                </c:pt>
                <c:pt idx="118">
                  <c:v>2519.9</c:v>
                </c:pt>
                <c:pt idx="119">
                  <c:v>2512.6</c:v>
                </c:pt>
                <c:pt idx="120">
                  <c:v>2505.1999999999998</c:v>
                </c:pt>
                <c:pt idx="121">
                  <c:v>2497.9</c:v>
                </c:pt>
                <c:pt idx="122">
                  <c:v>2494.1999999999998</c:v>
                </c:pt>
                <c:pt idx="123">
                  <c:v>2486.8000000000002</c:v>
                </c:pt>
                <c:pt idx="124">
                  <c:v>2483.1999999999998</c:v>
                </c:pt>
                <c:pt idx="125">
                  <c:v>2479.5</c:v>
                </c:pt>
                <c:pt idx="126">
                  <c:v>2472.1</c:v>
                </c:pt>
                <c:pt idx="127">
                  <c:v>2468.4</c:v>
                </c:pt>
                <c:pt idx="128">
                  <c:v>2464.8000000000002</c:v>
                </c:pt>
                <c:pt idx="129">
                  <c:v>2457.4</c:v>
                </c:pt>
                <c:pt idx="130">
                  <c:v>2453.6999999999998</c:v>
                </c:pt>
                <c:pt idx="131">
                  <c:v>2450</c:v>
                </c:pt>
                <c:pt idx="132">
                  <c:v>2442.6999999999998</c:v>
                </c:pt>
                <c:pt idx="133">
                  <c:v>2439</c:v>
                </c:pt>
                <c:pt idx="134">
                  <c:v>2431.6999999999998</c:v>
                </c:pt>
                <c:pt idx="135">
                  <c:v>2428</c:v>
                </c:pt>
                <c:pt idx="136">
                  <c:v>2420.6</c:v>
                </c:pt>
                <c:pt idx="137">
                  <c:v>2416.9</c:v>
                </c:pt>
                <c:pt idx="138">
                  <c:v>2413.3000000000002</c:v>
                </c:pt>
                <c:pt idx="139">
                  <c:v>2405.9</c:v>
                </c:pt>
                <c:pt idx="140">
                  <c:v>2398.5</c:v>
                </c:pt>
                <c:pt idx="141">
                  <c:v>2394.9</c:v>
                </c:pt>
                <c:pt idx="142">
                  <c:v>2391.1999999999998</c:v>
                </c:pt>
                <c:pt idx="143">
                  <c:v>2383.8000000000002</c:v>
                </c:pt>
                <c:pt idx="144">
                  <c:v>2380.1999999999998</c:v>
                </c:pt>
                <c:pt idx="145">
                  <c:v>2372.8000000000002</c:v>
                </c:pt>
                <c:pt idx="146">
                  <c:v>2369.1</c:v>
                </c:pt>
                <c:pt idx="147">
                  <c:v>2361.8000000000002</c:v>
                </c:pt>
                <c:pt idx="148">
                  <c:v>2354.4</c:v>
                </c:pt>
                <c:pt idx="149">
                  <c:v>2347</c:v>
                </c:pt>
                <c:pt idx="150">
                  <c:v>2343.4</c:v>
                </c:pt>
                <c:pt idx="151">
                  <c:v>2336</c:v>
                </c:pt>
                <c:pt idx="152">
                  <c:v>2328.6</c:v>
                </c:pt>
                <c:pt idx="153">
                  <c:v>2325</c:v>
                </c:pt>
                <c:pt idx="154">
                  <c:v>2317.6</c:v>
                </c:pt>
                <c:pt idx="155">
                  <c:v>2313.9</c:v>
                </c:pt>
                <c:pt idx="156">
                  <c:v>2306.6</c:v>
                </c:pt>
                <c:pt idx="157">
                  <c:v>2295.5</c:v>
                </c:pt>
                <c:pt idx="158">
                  <c:v>2288.1999999999998</c:v>
                </c:pt>
                <c:pt idx="159">
                  <c:v>2280.8000000000002</c:v>
                </c:pt>
                <c:pt idx="160">
                  <c:v>2273.5</c:v>
                </c:pt>
                <c:pt idx="161">
                  <c:v>2266.1</c:v>
                </c:pt>
                <c:pt idx="162">
                  <c:v>2258.8000000000002</c:v>
                </c:pt>
                <c:pt idx="163">
                  <c:v>2251.4</c:v>
                </c:pt>
                <c:pt idx="164">
                  <c:v>2244</c:v>
                </c:pt>
                <c:pt idx="165">
                  <c:v>2240.4</c:v>
                </c:pt>
                <c:pt idx="166">
                  <c:v>2233</c:v>
                </c:pt>
                <c:pt idx="167">
                  <c:v>2225.6</c:v>
                </c:pt>
                <c:pt idx="168">
                  <c:v>2218.3000000000002</c:v>
                </c:pt>
                <c:pt idx="169">
                  <c:v>2214.6</c:v>
                </c:pt>
                <c:pt idx="170">
                  <c:v>2207.1999999999998</c:v>
                </c:pt>
                <c:pt idx="171">
                  <c:v>2196.1999999999998</c:v>
                </c:pt>
                <c:pt idx="172">
                  <c:v>2188.9</c:v>
                </c:pt>
                <c:pt idx="173">
                  <c:v>2181.5</c:v>
                </c:pt>
                <c:pt idx="174">
                  <c:v>2174.1</c:v>
                </c:pt>
                <c:pt idx="175">
                  <c:v>2166.8000000000002</c:v>
                </c:pt>
                <c:pt idx="176">
                  <c:v>2159.4</c:v>
                </c:pt>
                <c:pt idx="177">
                  <c:v>2152.1</c:v>
                </c:pt>
                <c:pt idx="178">
                  <c:v>2144.6999999999998</c:v>
                </c:pt>
                <c:pt idx="179">
                  <c:v>2137.4</c:v>
                </c:pt>
                <c:pt idx="180">
                  <c:v>2126.3000000000002</c:v>
                </c:pt>
                <c:pt idx="181">
                  <c:v>2119</c:v>
                </c:pt>
                <c:pt idx="182">
                  <c:v>2107.9</c:v>
                </c:pt>
                <c:pt idx="183">
                  <c:v>2100.6</c:v>
                </c:pt>
                <c:pt idx="184">
                  <c:v>2093.1999999999998</c:v>
                </c:pt>
                <c:pt idx="185">
                  <c:v>2082.1999999999998</c:v>
                </c:pt>
                <c:pt idx="186">
                  <c:v>2074.8000000000002</c:v>
                </c:pt>
                <c:pt idx="187">
                  <c:v>2063.8000000000002</c:v>
                </c:pt>
                <c:pt idx="188">
                  <c:v>2052.6999999999998</c:v>
                </c:pt>
                <c:pt idx="189">
                  <c:v>2045.4</c:v>
                </c:pt>
                <c:pt idx="190">
                  <c:v>2034.3</c:v>
                </c:pt>
                <c:pt idx="191">
                  <c:v>2027</c:v>
                </c:pt>
                <c:pt idx="192">
                  <c:v>2016</c:v>
                </c:pt>
                <c:pt idx="193">
                  <c:v>2004.9</c:v>
                </c:pt>
                <c:pt idx="194">
                  <c:v>1993.9</c:v>
                </c:pt>
                <c:pt idx="195">
                  <c:v>1982.8</c:v>
                </c:pt>
                <c:pt idx="196">
                  <c:v>1971.8</c:v>
                </c:pt>
                <c:pt idx="197">
                  <c:v>1960.8</c:v>
                </c:pt>
                <c:pt idx="198">
                  <c:v>1949.7</c:v>
                </c:pt>
                <c:pt idx="199">
                  <c:v>1938.7</c:v>
                </c:pt>
                <c:pt idx="200">
                  <c:v>1927.7</c:v>
                </c:pt>
                <c:pt idx="201">
                  <c:v>1920.3</c:v>
                </c:pt>
                <c:pt idx="202">
                  <c:v>1909.3</c:v>
                </c:pt>
                <c:pt idx="203">
                  <c:v>1894.6</c:v>
                </c:pt>
                <c:pt idx="204">
                  <c:v>1883.5</c:v>
                </c:pt>
                <c:pt idx="205">
                  <c:v>1872.5</c:v>
                </c:pt>
                <c:pt idx="206">
                  <c:v>1861.4</c:v>
                </c:pt>
                <c:pt idx="207">
                  <c:v>1850.4</c:v>
                </c:pt>
                <c:pt idx="208">
                  <c:v>1839.4</c:v>
                </c:pt>
                <c:pt idx="209">
                  <c:v>1824.7</c:v>
                </c:pt>
                <c:pt idx="210">
                  <c:v>1809.9</c:v>
                </c:pt>
                <c:pt idx="211">
                  <c:v>1798.9</c:v>
                </c:pt>
                <c:pt idx="212">
                  <c:v>1784.2</c:v>
                </c:pt>
                <c:pt idx="213">
                  <c:v>1769.5</c:v>
                </c:pt>
                <c:pt idx="214">
                  <c:v>1754.8</c:v>
                </c:pt>
                <c:pt idx="215">
                  <c:v>1736.4</c:v>
                </c:pt>
                <c:pt idx="216">
                  <c:v>1721.7</c:v>
                </c:pt>
                <c:pt idx="217">
                  <c:v>1699.6</c:v>
                </c:pt>
                <c:pt idx="218">
                  <c:v>1673.8</c:v>
                </c:pt>
                <c:pt idx="219">
                  <c:v>1633.4</c:v>
                </c:pt>
                <c:pt idx="220">
                  <c:v>1574.5</c:v>
                </c:pt>
                <c:pt idx="221">
                  <c:v>1504.6</c:v>
                </c:pt>
                <c:pt idx="222">
                  <c:v>1449.4</c:v>
                </c:pt>
                <c:pt idx="223">
                  <c:v>1397.9</c:v>
                </c:pt>
                <c:pt idx="224">
                  <c:v>1353.8</c:v>
                </c:pt>
                <c:pt idx="225">
                  <c:v>1306</c:v>
                </c:pt>
                <c:pt idx="226">
                  <c:v>1254.5</c:v>
                </c:pt>
                <c:pt idx="227">
                  <c:v>1210.3</c:v>
                </c:pt>
                <c:pt idx="228">
                  <c:v>1173.5</c:v>
                </c:pt>
                <c:pt idx="229">
                  <c:v>1136.7</c:v>
                </c:pt>
                <c:pt idx="230">
                  <c:v>1099.9000000000001</c:v>
                </c:pt>
                <c:pt idx="231">
                  <c:v>1055.8</c:v>
                </c:pt>
                <c:pt idx="232">
                  <c:v>1015.3</c:v>
                </c:pt>
                <c:pt idx="233">
                  <c:v>978.5</c:v>
                </c:pt>
                <c:pt idx="234">
                  <c:v>938.1</c:v>
                </c:pt>
                <c:pt idx="235">
                  <c:v>897.6</c:v>
                </c:pt>
                <c:pt idx="236">
                  <c:v>857.1</c:v>
                </c:pt>
                <c:pt idx="237">
                  <c:v>820.4</c:v>
                </c:pt>
                <c:pt idx="238">
                  <c:v>779.9</c:v>
                </c:pt>
                <c:pt idx="239">
                  <c:v>746.8</c:v>
                </c:pt>
                <c:pt idx="240">
                  <c:v>706.3</c:v>
                </c:pt>
                <c:pt idx="241">
                  <c:v>665.9</c:v>
                </c:pt>
                <c:pt idx="242">
                  <c:v>625.4</c:v>
                </c:pt>
                <c:pt idx="243">
                  <c:v>581.20000000000005</c:v>
                </c:pt>
                <c:pt idx="244">
                  <c:v>537.1</c:v>
                </c:pt>
                <c:pt idx="245">
                  <c:v>493</c:v>
                </c:pt>
                <c:pt idx="246">
                  <c:v>456.2</c:v>
                </c:pt>
                <c:pt idx="247">
                  <c:v>419.4</c:v>
                </c:pt>
                <c:pt idx="248">
                  <c:v>389.9</c:v>
                </c:pt>
                <c:pt idx="249">
                  <c:v>356.8</c:v>
                </c:pt>
                <c:pt idx="250">
                  <c:v>331.1</c:v>
                </c:pt>
                <c:pt idx="251">
                  <c:v>301.7</c:v>
                </c:pt>
                <c:pt idx="252">
                  <c:v>275.89999999999998</c:v>
                </c:pt>
                <c:pt idx="253">
                  <c:v>253.8</c:v>
                </c:pt>
                <c:pt idx="254">
                  <c:v>228.1</c:v>
                </c:pt>
                <c:pt idx="255">
                  <c:v>206</c:v>
                </c:pt>
                <c:pt idx="256">
                  <c:v>187.6</c:v>
                </c:pt>
                <c:pt idx="257">
                  <c:v>172.9</c:v>
                </c:pt>
                <c:pt idx="258">
                  <c:v>154.5</c:v>
                </c:pt>
                <c:pt idx="259">
                  <c:v>143.5</c:v>
                </c:pt>
                <c:pt idx="260">
                  <c:v>132.4</c:v>
                </c:pt>
                <c:pt idx="261">
                  <c:v>117.7</c:v>
                </c:pt>
                <c:pt idx="262">
                  <c:v>106.7</c:v>
                </c:pt>
                <c:pt idx="263">
                  <c:v>95.6</c:v>
                </c:pt>
                <c:pt idx="264">
                  <c:v>84.6</c:v>
                </c:pt>
                <c:pt idx="265">
                  <c:v>77.3</c:v>
                </c:pt>
                <c:pt idx="266">
                  <c:v>66.2</c:v>
                </c:pt>
                <c:pt idx="267">
                  <c:v>62.5</c:v>
                </c:pt>
                <c:pt idx="268">
                  <c:v>55.2</c:v>
                </c:pt>
                <c:pt idx="269">
                  <c:v>51.5</c:v>
                </c:pt>
                <c:pt idx="270">
                  <c:v>47.8</c:v>
                </c:pt>
                <c:pt idx="271">
                  <c:v>44.1</c:v>
                </c:pt>
                <c:pt idx="272">
                  <c:v>40.5</c:v>
                </c:pt>
                <c:pt idx="273">
                  <c:v>36.799999999999997</c:v>
                </c:pt>
                <c:pt idx="274">
                  <c:v>33.1</c:v>
                </c:pt>
                <c:pt idx="275">
                  <c:v>33.1</c:v>
                </c:pt>
                <c:pt idx="276">
                  <c:v>29.4</c:v>
                </c:pt>
                <c:pt idx="277">
                  <c:v>25.8</c:v>
                </c:pt>
                <c:pt idx="278">
                  <c:v>25.8</c:v>
                </c:pt>
                <c:pt idx="279">
                  <c:v>22.1</c:v>
                </c:pt>
                <c:pt idx="280">
                  <c:v>22.1</c:v>
                </c:pt>
                <c:pt idx="281">
                  <c:v>18.399999999999999</c:v>
                </c:pt>
                <c:pt idx="282">
                  <c:v>18.399999999999999</c:v>
                </c:pt>
                <c:pt idx="283">
                  <c:v>18.399999999999999</c:v>
                </c:pt>
                <c:pt idx="284">
                  <c:v>18.399999999999999</c:v>
                </c:pt>
                <c:pt idx="285">
                  <c:v>18.399999999999999</c:v>
                </c:pt>
                <c:pt idx="286">
                  <c:v>18.399999999999999</c:v>
                </c:pt>
                <c:pt idx="287">
                  <c:v>14.7</c:v>
                </c:pt>
                <c:pt idx="288">
                  <c:v>14.7</c:v>
                </c:pt>
                <c:pt idx="289">
                  <c:v>14.7</c:v>
                </c:pt>
                <c:pt idx="290">
                  <c:v>14.7</c:v>
                </c:pt>
                <c:pt idx="291">
                  <c:v>11</c:v>
                </c:pt>
                <c:pt idx="292">
                  <c:v>11</c:v>
                </c:pt>
                <c:pt idx="293">
                  <c:v>11</c:v>
                </c:pt>
                <c:pt idx="294">
                  <c:v>11</c:v>
                </c:pt>
                <c:pt idx="295">
                  <c:v>11</c:v>
                </c:pt>
                <c:pt idx="296">
                  <c:v>11</c:v>
                </c:pt>
                <c:pt idx="297">
                  <c:v>11</c:v>
                </c:pt>
                <c:pt idx="298">
                  <c:v>11</c:v>
                </c:pt>
                <c:pt idx="299">
                  <c:v>11</c:v>
                </c:pt>
                <c:pt idx="300">
                  <c:v>7.4</c:v>
                </c:pt>
                <c:pt idx="301">
                  <c:v>11</c:v>
                </c:pt>
                <c:pt idx="302">
                  <c:v>11</c:v>
                </c:pt>
                <c:pt idx="303">
                  <c:v>14.7</c:v>
                </c:pt>
                <c:pt idx="304">
                  <c:v>14.7</c:v>
                </c:pt>
                <c:pt idx="305">
                  <c:v>14.7</c:v>
                </c:pt>
                <c:pt idx="306">
                  <c:v>14.7</c:v>
                </c:pt>
                <c:pt idx="307">
                  <c:v>14.7</c:v>
                </c:pt>
                <c:pt idx="308">
                  <c:v>14.7</c:v>
                </c:pt>
                <c:pt idx="309">
                  <c:v>14.7</c:v>
                </c:pt>
                <c:pt idx="310">
                  <c:v>14.7</c:v>
                </c:pt>
                <c:pt idx="311">
                  <c:v>14.7</c:v>
                </c:pt>
                <c:pt idx="312">
                  <c:v>14.7</c:v>
                </c:pt>
                <c:pt idx="313">
                  <c:v>14.7</c:v>
                </c:pt>
                <c:pt idx="314">
                  <c:v>14.7</c:v>
                </c:pt>
                <c:pt idx="315">
                  <c:v>14.7</c:v>
                </c:pt>
                <c:pt idx="316">
                  <c:v>14.7</c:v>
                </c:pt>
                <c:pt idx="317">
                  <c:v>14.7</c:v>
                </c:pt>
                <c:pt idx="318">
                  <c:v>11</c:v>
                </c:pt>
                <c:pt idx="319">
                  <c:v>11</c:v>
                </c:pt>
                <c:pt idx="320">
                  <c:v>11</c:v>
                </c:pt>
                <c:pt idx="321">
                  <c:v>14.7</c:v>
                </c:pt>
                <c:pt idx="322">
                  <c:v>14.7</c:v>
                </c:pt>
                <c:pt idx="323">
                  <c:v>11</c:v>
                </c:pt>
                <c:pt idx="324">
                  <c:v>11</c:v>
                </c:pt>
                <c:pt idx="325">
                  <c:v>11</c:v>
                </c:pt>
                <c:pt idx="326">
                  <c:v>11</c:v>
                </c:pt>
                <c:pt idx="327">
                  <c:v>11</c:v>
                </c:pt>
                <c:pt idx="328">
                  <c:v>7.4</c:v>
                </c:pt>
                <c:pt idx="329">
                  <c:v>7.4</c:v>
                </c:pt>
                <c:pt idx="330">
                  <c:v>7.4</c:v>
                </c:pt>
                <c:pt idx="331">
                  <c:v>11</c:v>
                </c:pt>
                <c:pt idx="332">
                  <c:v>11</c:v>
                </c:pt>
                <c:pt idx="333">
                  <c:v>11</c:v>
                </c:pt>
                <c:pt idx="334">
                  <c:v>7.4</c:v>
                </c:pt>
                <c:pt idx="335">
                  <c:v>7.4</c:v>
                </c:pt>
                <c:pt idx="336">
                  <c:v>7.4</c:v>
                </c:pt>
                <c:pt idx="337">
                  <c:v>7.4</c:v>
                </c:pt>
                <c:pt idx="338">
                  <c:v>3.7</c:v>
                </c:pt>
                <c:pt idx="339">
                  <c:v>3.7</c:v>
                </c:pt>
                <c:pt idx="340">
                  <c:v>7.4</c:v>
                </c:pt>
                <c:pt idx="341">
                  <c:v>7.4</c:v>
                </c:pt>
                <c:pt idx="342">
                  <c:v>7.4</c:v>
                </c:pt>
                <c:pt idx="343">
                  <c:v>11</c:v>
                </c:pt>
                <c:pt idx="344">
                  <c:v>11</c:v>
                </c:pt>
                <c:pt idx="345">
                  <c:v>7.4</c:v>
                </c:pt>
                <c:pt idx="346">
                  <c:v>7.4</c:v>
                </c:pt>
                <c:pt idx="347">
                  <c:v>7.4</c:v>
                </c:pt>
                <c:pt idx="348">
                  <c:v>7.4</c:v>
                </c:pt>
                <c:pt idx="349">
                  <c:v>7.4</c:v>
                </c:pt>
                <c:pt idx="350">
                  <c:v>7.4</c:v>
                </c:pt>
                <c:pt idx="351">
                  <c:v>7.4</c:v>
                </c:pt>
                <c:pt idx="352">
                  <c:v>7.4</c:v>
                </c:pt>
                <c:pt idx="353">
                  <c:v>7.4</c:v>
                </c:pt>
                <c:pt idx="354">
                  <c:v>7.4</c:v>
                </c:pt>
                <c:pt idx="355">
                  <c:v>7.4</c:v>
                </c:pt>
                <c:pt idx="356">
                  <c:v>7.4</c:v>
                </c:pt>
                <c:pt idx="357">
                  <c:v>7.4</c:v>
                </c:pt>
                <c:pt idx="358">
                  <c:v>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6B-478A-8522-EA456B73A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84032"/>
        <c:axId val="37470976"/>
      </c:scatterChart>
      <c:valAx>
        <c:axId val="37484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Extension (mm)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7470976"/>
        <c:crosses val="autoZero"/>
        <c:crossBetween val="midCat"/>
      </c:valAx>
      <c:valAx>
        <c:axId val="374709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Force (N)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7484032"/>
        <c:crosses val="autoZero"/>
        <c:crossBetween val="midCat"/>
      </c:valAx>
      <c:spPr>
        <a:solidFill>
          <a:srgbClr val="DCFADC"/>
        </a:solidFill>
      </c:spPr>
    </c:plotArea>
    <c:plotVisOnly val="1"/>
    <c:dispBlanksAs val="gap"/>
    <c:showDLblsOverMax val="0"/>
  </c:chart>
  <c:spPr>
    <a:solidFill>
      <a:srgbClr val="DCDCFA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'SMT Data Report'!$C$24:$C$382</c:f>
              <c:numCache>
                <c:formatCode>General</c:formatCode>
                <c:ptCount val="359"/>
                <c:pt idx="0">
                  <c:v>0</c:v>
                </c:pt>
                <c:pt idx="1">
                  <c:v>0</c:v>
                </c:pt>
                <c:pt idx="2">
                  <c:v>3.7499999999999997E-5</c:v>
                </c:pt>
                <c:pt idx="3">
                  <c:v>2.6562500000000002E-4</c:v>
                </c:pt>
                <c:pt idx="4">
                  <c:v>6.8749999999999996E-4</c:v>
                </c:pt>
                <c:pt idx="5">
                  <c:v>1.090625E-3</c:v>
                </c:pt>
                <c:pt idx="6">
                  <c:v>1.4875000000000001E-3</c:v>
                </c:pt>
                <c:pt idx="7">
                  <c:v>1.8875000000000001E-3</c:v>
                </c:pt>
                <c:pt idx="8">
                  <c:v>2.2656249999999998E-3</c:v>
                </c:pt>
                <c:pt idx="9">
                  <c:v>2.7125000000000001E-3</c:v>
                </c:pt>
                <c:pt idx="10">
                  <c:v>3.1124999999999998E-3</c:v>
                </c:pt>
                <c:pt idx="11">
                  <c:v>3.5062499999999998E-3</c:v>
                </c:pt>
                <c:pt idx="12">
                  <c:v>3.9125000000000002E-3</c:v>
                </c:pt>
                <c:pt idx="13">
                  <c:v>4.3062500000000002E-3</c:v>
                </c:pt>
                <c:pt idx="14">
                  <c:v>4.7468750000000002E-3</c:v>
                </c:pt>
                <c:pt idx="15">
                  <c:v>5.1406250000000002E-3</c:v>
                </c:pt>
                <c:pt idx="16">
                  <c:v>5.5343750000000002E-3</c:v>
                </c:pt>
                <c:pt idx="17">
                  <c:v>5.9312499999999999E-3</c:v>
                </c:pt>
                <c:pt idx="18">
                  <c:v>6.3156250000000001E-3</c:v>
                </c:pt>
                <c:pt idx="19">
                  <c:v>6.7781250000000003E-3</c:v>
                </c:pt>
                <c:pt idx="20">
                  <c:v>7.1624999999999996E-3</c:v>
                </c:pt>
                <c:pt idx="21">
                  <c:v>7.5656250000000003E-3</c:v>
                </c:pt>
                <c:pt idx="22">
                  <c:v>7.9656250000000005E-3</c:v>
                </c:pt>
                <c:pt idx="23">
                  <c:v>8.4124999999999998E-3</c:v>
                </c:pt>
                <c:pt idx="24">
                  <c:v>8.7124999999999998E-3</c:v>
                </c:pt>
                <c:pt idx="25">
                  <c:v>9.1968750000000002E-3</c:v>
                </c:pt>
                <c:pt idx="26">
                  <c:v>9.5968749999999995E-3</c:v>
                </c:pt>
                <c:pt idx="27">
                  <c:v>9.9874999999999999E-3</c:v>
                </c:pt>
                <c:pt idx="28">
                  <c:v>1.0434374999999999E-2</c:v>
                </c:pt>
                <c:pt idx="29">
                  <c:v>1.08375E-2</c:v>
                </c:pt>
                <c:pt idx="30">
                  <c:v>1.123125E-2</c:v>
                </c:pt>
                <c:pt idx="31">
                  <c:v>1.1631249999999999E-2</c:v>
                </c:pt>
                <c:pt idx="32">
                  <c:v>1.201875E-2</c:v>
                </c:pt>
                <c:pt idx="33">
                  <c:v>1.2465624999999999E-2</c:v>
                </c:pt>
                <c:pt idx="34">
                  <c:v>1.2865625E-2</c:v>
                </c:pt>
                <c:pt idx="35">
                  <c:v>1.3259375E-2</c:v>
                </c:pt>
                <c:pt idx="36">
                  <c:v>1.3653125E-2</c:v>
                </c:pt>
                <c:pt idx="37">
                  <c:v>1.4106250000000001E-2</c:v>
                </c:pt>
                <c:pt idx="38">
                  <c:v>1.4503125E-2</c:v>
                </c:pt>
                <c:pt idx="39">
                  <c:v>1.4896875E-2</c:v>
                </c:pt>
                <c:pt idx="40">
                  <c:v>1.5299999999999999E-2</c:v>
                </c:pt>
                <c:pt idx="41">
                  <c:v>1.5684375E-2</c:v>
                </c:pt>
                <c:pt idx="42">
                  <c:v>1.6137499999999999E-2</c:v>
                </c:pt>
                <c:pt idx="43">
                  <c:v>1.6528125000000001E-2</c:v>
                </c:pt>
                <c:pt idx="44">
                  <c:v>1.6931249999999998E-2</c:v>
                </c:pt>
                <c:pt idx="45">
                  <c:v>1.7321875E-2</c:v>
                </c:pt>
                <c:pt idx="46">
                  <c:v>1.7756250000000001E-2</c:v>
                </c:pt>
                <c:pt idx="47">
                  <c:v>1.8168750000000001E-2</c:v>
                </c:pt>
                <c:pt idx="48">
                  <c:v>1.8559374999999999E-2</c:v>
                </c:pt>
                <c:pt idx="49">
                  <c:v>1.8959375000000001E-2</c:v>
                </c:pt>
                <c:pt idx="50">
                  <c:v>1.9356249999999998E-2</c:v>
                </c:pt>
                <c:pt idx="51">
                  <c:v>1.9809375000000001E-2</c:v>
                </c:pt>
                <c:pt idx="52">
                  <c:v>2.0203124999999999E-2</c:v>
                </c:pt>
                <c:pt idx="53">
                  <c:v>2.0593750000000001E-2</c:v>
                </c:pt>
                <c:pt idx="54">
                  <c:v>2.0993749999999999E-2</c:v>
                </c:pt>
                <c:pt idx="55">
                  <c:v>2.1381250000000001E-2</c:v>
                </c:pt>
                <c:pt idx="56">
                  <c:v>2.1840624999999999E-2</c:v>
                </c:pt>
                <c:pt idx="57">
                  <c:v>2.22375E-2</c:v>
                </c:pt>
                <c:pt idx="58">
                  <c:v>2.2631249999999999E-2</c:v>
                </c:pt>
                <c:pt idx="59">
                  <c:v>2.3018750000000001E-2</c:v>
                </c:pt>
                <c:pt idx="60">
                  <c:v>2.3459375000000001E-2</c:v>
                </c:pt>
                <c:pt idx="61">
                  <c:v>2.3871875000000001E-2</c:v>
                </c:pt>
                <c:pt idx="62">
                  <c:v>2.4259375E-2</c:v>
                </c:pt>
                <c:pt idx="63">
                  <c:v>2.4656250000000001E-2</c:v>
                </c:pt>
                <c:pt idx="64">
                  <c:v>2.5049999999999999E-2</c:v>
                </c:pt>
                <c:pt idx="65">
                  <c:v>2.5490624999999999E-2</c:v>
                </c:pt>
                <c:pt idx="66">
                  <c:v>2.589375E-2</c:v>
                </c:pt>
                <c:pt idx="67">
                  <c:v>2.6281249999999999E-2</c:v>
                </c:pt>
                <c:pt idx="68">
                  <c:v>2.6690624999999999E-2</c:v>
                </c:pt>
                <c:pt idx="69">
                  <c:v>2.7128124999999999E-2</c:v>
                </c:pt>
                <c:pt idx="70">
                  <c:v>2.7521875000000001E-2</c:v>
                </c:pt>
                <c:pt idx="71">
                  <c:v>2.7918749999999999E-2</c:v>
                </c:pt>
                <c:pt idx="72">
                  <c:v>2.8312500000000001E-2</c:v>
                </c:pt>
                <c:pt idx="73">
                  <c:v>2.8715625000000002E-2</c:v>
                </c:pt>
                <c:pt idx="74">
                  <c:v>2.9162500000000001E-2</c:v>
                </c:pt>
                <c:pt idx="75">
                  <c:v>2.9543750000000001E-2</c:v>
                </c:pt>
                <c:pt idx="76">
                  <c:v>2.9950000000000001E-2</c:v>
                </c:pt>
                <c:pt idx="77">
                  <c:v>3.0343749999999999E-2</c:v>
                </c:pt>
                <c:pt idx="78">
                  <c:v>3.0737500000000001E-2</c:v>
                </c:pt>
                <c:pt idx="79">
                  <c:v>3.11875E-2</c:v>
                </c:pt>
                <c:pt idx="80">
                  <c:v>3.1584374999999998E-2</c:v>
                </c:pt>
                <c:pt idx="81">
                  <c:v>3.1987500000000002E-2</c:v>
                </c:pt>
                <c:pt idx="82">
                  <c:v>3.2375000000000001E-2</c:v>
                </c:pt>
                <c:pt idx="83">
                  <c:v>3.2821875E-2</c:v>
                </c:pt>
                <c:pt idx="84">
                  <c:v>3.3224999999999998E-2</c:v>
                </c:pt>
                <c:pt idx="85">
                  <c:v>3.3615625000000003E-2</c:v>
                </c:pt>
                <c:pt idx="86">
                  <c:v>3.4025E-2</c:v>
                </c:pt>
                <c:pt idx="87">
                  <c:v>3.4403125E-2</c:v>
                </c:pt>
                <c:pt idx="88">
                  <c:v>3.4856249999999998E-2</c:v>
                </c:pt>
                <c:pt idx="89">
                  <c:v>3.5249999999999997E-2</c:v>
                </c:pt>
                <c:pt idx="90">
                  <c:v>3.56625E-2</c:v>
                </c:pt>
                <c:pt idx="91">
                  <c:v>3.6056249999999998E-2</c:v>
                </c:pt>
                <c:pt idx="92">
                  <c:v>3.6490624999999999E-2</c:v>
                </c:pt>
                <c:pt idx="93">
                  <c:v>3.6887499999999997E-2</c:v>
                </c:pt>
                <c:pt idx="94">
                  <c:v>3.7278125000000002E-2</c:v>
                </c:pt>
                <c:pt idx="95">
                  <c:v>3.7668750000000001E-2</c:v>
                </c:pt>
                <c:pt idx="96">
                  <c:v>3.8062499999999999E-2</c:v>
                </c:pt>
                <c:pt idx="97">
                  <c:v>3.8509374999999998E-2</c:v>
                </c:pt>
                <c:pt idx="98">
                  <c:v>3.8915625000000002E-2</c:v>
                </c:pt>
                <c:pt idx="99">
                  <c:v>3.9306250000000001E-2</c:v>
                </c:pt>
                <c:pt idx="100">
                  <c:v>3.9699999999999999E-2</c:v>
                </c:pt>
                <c:pt idx="101">
                  <c:v>4.0096874999999997E-2</c:v>
                </c:pt>
                <c:pt idx="102">
                  <c:v>4.0543750000000003E-2</c:v>
                </c:pt>
                <c:pt idx="103">
                  <c:v>4.0937500000000002E-2</c:v>
                </c:pt>
                <c:pt idx="104">
                  <c:v>4.1337499999999999E-2</c:v>
                </c:pt>
                <c:pt idx="105">
                  <c:v>4.1734374999999997E-2</c:v>
                </c:pt>
                <c:pt idx="106">
                  <c:v>4.2184375000000003E-2</c:v>
                </c:pt>
                <c:pt idx="107">
                  <c:v>4.2578125000000001E-2</c:v>
                </c:pt>
                <c:pt idx="108">
                  <c:v>4.296875E-2</c:v>
                </c:pt>
                <c:pt idx="109">
                  <c:v>4.3362499999999998E-2</c:v>
                </c:pt>
                <c:pt idx="110">
                  <c:v>4.3759375000000003E-2</c:v>
                </c:pt>
                <c:pt idx="111">
                  <c:v>4.4206250000000002E-2</c:v>
                </c:pt>
                <c:pt idx="112">
                  <c:v>4.460625E-2</c:v>
                </c:pt>
                <c:pt idx="113">
                  <c:v>4.4996874999999999E-2</c:v>
                </c:pt>
                <c:pt idx="114">
                  <c:v>4.5409375000000002E-2</c:v>
                </c:pt>
                <c:pt idx="115">
                  <c:v>4.58E-2</c:v>
                </c:pt>
                <c:pt idx="116">
                  <c:v>4.6249999999999999E-2</c:v>
                </c:pt>
                <c:pt idx="117">
                  <c:v>4.6637499999999998E-2</c:v>
                </c:pt>
                <c:pt idx="118">
                  <c:v>4.7043750000000002E-2</c:v>
                </c:pt>
                <c:pt idx="119">
                  <c:v>4.7431250000000001E-2</c:v>
                </c:pt>
                <c:pt idx="120">
                  <c:v>4.7868750000000002E-2</c:v>
                </c:pt>
                <c:pt idx="121">
                  <c:v>4.8274999999999998E-2</c:v>
                </c:pt>
                <c:pt idx="122">
                  <c:v>4.8665624999999997E-2</c:v>
                </c:pt>
                <c:pt idx="123">
                  <c:v>4.9068750000000001E-2</c:v>
                </c:pt>
                <c:pt idx="124">
                  <c:v>4.9459375E-2</c:v>
                </c:pt>
                <c:pt idx="125">
                  <c:v>4.9909374999999999E-2</c:v>
                </c:pt>
                <c:pt idx="126">
                  <c:v>5.0303124999999997E-2</c:v>
                </c:pt>
                <c:pt idx="127">
                  <c:v>5.0693750000000003E-2</c:v>
                </c:pt>
                <c:pt idx="128">
                  <c:v>5.109375E-2</c:v>
                </c:pt>
                <c:pt idx="129">
                  <c:v>5.1543749999999999E-2</c:v>
                </c:pt>
                <c:pt idx="130">
                  <c:v>5.1940624999999997E-2</c:v>
                </c:pt>
                <c:pt idx="131">
                  <c:v>5.2334375000000002E-2</c:v>
                </c:pt>
                <c:pt idx="132">
                  <c:v>5.2740624999999999E-2</c:v>
                </c:pt>
                <c:pt idx="133">
                  <c:v>5.3131249999999998E-2</c:v>
                </c:pt>
                <c:pt idx="134">
                  <c:v>5.3574999999999998E-2</c:v>
                </c:pt>
                <c:pt idx="135">
                  <c:v>5.3968750000000003E-2</c:v>
                </c:pt>
                <c:pt idx="136">
                  <c:v>5.4356250000000002E-2</c:v>
                </c:pt>
                <c:pt idx="137">
                  <c:v>5.4759374999999999E-2</c:v>
                </c:pt>
                <c:pt idx="138">
                  <c:v>5.5156249999999997E-2</c:v>
                </c:pt>
                <c:pt idx="139">
                  <c:v>5.5599999999999997E-2</c:v>
                </c:pt>
                <c:pt idx="140">
                  <c:v>5.5996875000000002E-2</c:v>
                </c:pt>
                <c:pt idx="141">
                  <c:v>5.6393749999999999E-2</c:v>
                </c:pt>
                <c:pt idx="142">
                  <c:v>5.6790624999999997E-2</c:v>
                </c:pt>
                <c:pt idx="143">
                  <c:v>5.7234374999999997E-2</c:v>
                </c:pt>
                <c:pt idx="144">
                  <c:v>5.7628125000000002E-2</c:v>
                </c:pt>
                <c:pt idx="145">
                  <c:v>5.803125E-2</c:v>
                </c:pt>
                <c:pt idx="146">
                  <c:v>5.8424999999999998E-2</c:v>
                </c:pt>
                <c:pt idx="147">
                  <c:v>5.8815625000000003E-2</c:v>
                </c:pt>
                <c:pt idx="148">
                  <c:v>5.9265625000000002E-2</c:v>
                </c:pt>
                <c:pt idx="149">
                  <c:v>5.9656250000000001E-2</c:v>
                </c:pt>
                <c:pt idx="150">
                  <c:v>6.0065624999999997E-2</c:v>
                </c:pt>
                <c:pt idx="151">
                  <c:v>6.0449999999999997E-2</c:v>
                </c:pt>
                <c:pt idx="152">
                  <c:v>6.0909375000000002E-2</c:v>
                </c:pt>
                <c:pt idx="153">
                  <c:v>6.1296875000000001E-2</c:v>
                </c:pt>
                <c:pt idx="154">
                  <c:v>6.1693749999999999E-2</c:v>
                </c:pt>
                <c:pt idx="155">
                  <c:v>6.2093750000000003E-2</c:v>
                </c:pt>
                <c:pt idx="156">
                  <c:v>6.2487500000000001E-2</c:v>
                </c:pt>
                <c:pt idx="157">
                  <c:v>6.2946874999999999E-2</c:v>
                </c:pt>
                <c:pt idx="158">
                  <c:v>6.3337500000000005E-2</c:v>
                </c:pt>
                <c:pt idx="159">
                  <c:v>6.3737500000000002E-2</c:v>
                </c:pt>
                <c:pt idx="160">
                  <c:v>6.4128124999999994E-2</c:v>
                </c:pt>
                <c:pt idx="161">
                  <c:v>6.4521875000000006E-2</c:v>
                </c:pt>
                <c:pt idx="162">
                  <c:v>6.4975000000000005E-2</c:v>
                </c:pt>
                <c:pt idx="163">
                  <c:v>6.5356250000000005E-2</c:v>
                </c:pt>
                <c:pt idx="164">
                  <c:v>6.5753124999999996E-2</c:v>
                </c:pt>
                <c:pt idx="165">
                  <c:v>6.6153124999999993E-2</c:v>
                </c:pt>
                <c:pt idx="166">
                  <c:v>6.6587499999999994E-2</c:v>
                </c:pt>
                <c:pt idx="167">
                  <c:v>6.6996874999999997E-2</c:v>
                </c:pt>
                <c:pt idx="168">
                  <c:v>6.7387500000000003E-2</c:v>
                </c:pt>
                <c:pt idx="169">
                  <c:v>6.7784374999999994E-2</c:v>
                </c:pt>
                <c:pt idx="170">
                  <c:v>6.8178125000000006E-2</c:v>
                </c:pt>
                <c:pt idx="171">
                  <c:v>6.8621874999999999E-2</c:v>
                </c:pt>
                <c:pt idx="172">
                  <c:v>6.9021874999999996E-2</c:v>
                </c:pt>
                <c:pt idx="173">
                  <c:v>6.9415624999999995E-2</c:v>
                </c:pt>
                <c:pt idx="174">
                  <c:v>6.9818749999999999E-2</c:v>
                </c:pt>
                <c:pt idx="175">
                  <c:v>7.0268750000000005E-2</c:v>
                </c:pt>
                <c:pt idx="176">
                  <c:v>7.0643750000000005E-2</c:v>
                </c:pt>
                <c:pt idx="177">
                  <c:v>7.1050000000000002E-2</c:v>
                </c:pt>
                <c:pt idx="178">
                  <c:v>7.144375E-2</c:v>
                </c:pt>
                <c:pt idx="179">
                  <c:v>7.1837499999999999E-2</c:v>
                </c:pt>
                <c:pt idx="180">
                  <c:v>7.2287500000000005E-2</c:v>
                </c:pt>
                <c:pt idx="181">
                  <c:v>7.2684374999999996E-2</c:v>
                </c:pt>
                <c:pt idx="182">
                  <c:v>7.3084374999999993E-2</c:v>
                </c:pt>
                <c:pt idx="183">
                  <c:v>7.3478125000000005E-2</c:v>
                </c:pt>
                <c:pt idx="184">
                  <c:v>7.3874999999999996E-2</c:v>
                </c:pt>
                <c:pt idx="185">
                  <c:v>7.4331250000000001E-2</c:v>
                </c:pt>
                <c:pt idx="186">
                  <c:v>7.4715624999999994E-2</c:v>
                </c:pt>
                <c:pt idx="187">
                  <c:v>7.5121875000000005E-2</c:v>
                </c:pt>
                <c:pt idx="188">
                  <c:v>7.5512499999999996E-2</c:v>
                </c:pt>
                <c:pt idx="189">
                  <c:v>7.5956250000000003E-2</c:v>
                </c:pt>
                <c:pt idx="190">
                  <c:v>7.6356250000000001E-2</c:v>
                </c:pt>
                <c:pt idx="191">
                  <c:v>7.6749999999999999E-2</c:v>
                </c:pt>
                <c:pt idx="192">
                  <c:v>7.7153125000000003E-2</c:v>
                </c:pt>
                <c:pt idx="193">
                  <c:v>7.7537499999999995E-2</c:v>
                </c:pt>
                <c:pt idx="194">
                  <c:v>7.7990624999999994E-2</c:v>
                </c:pt>
                <c:pt idx="195">
                  <c:v>7.8375E-2</c:v>
                </c:pt>
                <c:pt idx="196">
                  <c:v>7.8774999999999998E-2</c:v>
                </c:pt>
                <c:pt idx="197">
                  <c:v>7.9168749999999996E-2</c:v>
                </c:pt>
                <c:pt idx="198">
                  <c:v>7.9615624999999995E-2</c:v>
                </c:pt>
                <c:pt idx="199">
                  <c:v>8.0021875000000006E-2</c:v>
                </c:pt>
                <c:pt idx="200">
                  <c:v>8.0406249999999999E-2</c:v>
                </c:pt>
                <c:pt idx="201">
                  <c:v>8.0803125000000003E-2</c:v>
                </c:pt>
                <c:pt idx="202">
                  <c:v>8.1209375E-2</c:v>
                </c:pt>
                <c:pt idx="203">
                  <c:v>8.1646874999999994E-2</c:v>
                </c:pt>
                <c:pt idx="204">
                  <c:v>8.2043749999999999E-2</c:v>
                </c:pt>
                <c:pt idx="205">
                  <c:v>8.2443749999999996E-2</c:v>
                </c:pt>
                <c:pt idx="206">
                  <c:v>8.2837499999999994E-2</c:v>
                </c:pt>
                <c:pt idx="207">
                  <c:v>8.3237500000000006E-2</c:v>
                </c:pt>
                <c:pt idx="208">
                  <c:v>8.3674999999999999E-2</c:v>
                </c:pt>
                <c:pt idx="209">
                  <c:v>8.4084375000000003E-2</c:v>
                </c:pt>
                <c:pt idx="210">
                  <c:v>8.4471875000000002E-2</c:v>
                </c:pt>
                <c:pt idx="211">
                  <c:v>8.4865625E-2</c:v>
                </c:pt>
                <c:pt idx="212">
                  <c:v>8.5312499999999999E-2</c:v>
                </c:pt>
                <c:pt idx="213">
                  <c:v>8.5709375000000004E-2</c:v>
                </c:pt>
                <c:pt idx="214">
                  <c:v>8.6115625000000001E-2</c:v>
                </c:pt>
                <c:pt idx="215">
                  <c:v>8.6506250000000007E-2</c:v>
                </c:pt>
                <c:pt idx="216">
                  <c:v>8.6903124999999998E-2</c:v>
                </c:pt>
                <c:pt idx="217">
                  <c:v>8.7349999999999997E-2</c:v>
                </c:pt>
                <c:pt idx="218">
                  <c:v>8.7731249999999997E-2</c:v>
                </c:pt>
                <c:pt idx="219">
                  <c:v>8.8137499999999994E-2</c:v>
                </c:pt>
                <c:pt idx="220">
                  <c:v>8.8525000000000006E-2</c:v>
                </c:pt>
                <c:pt idx="221">
                  <c:v>8.8978125000000005E-2</c:v>
                </c:pt>
                <c:pt idx="222">
                  <c:v>8.9374999999999996E-2</c:v>
                </c:pt>
                <c:pt idx="223">
                  <c:v>8.9768749999999994E-2</c:v>
                </c:pt>
                <c:pt idx="224">
                  <c:v>9.0165624999999999E-2</c:v>
                </c:pt>
                <c:pt idx="225">
                  <c:v>9.0565624999999997E-2</c:v>
                </c:pt>
                <c:pt idx="226">
                  <c:v>9.1015625000000003E-2</c:v>
                </c:pt>
                <c:pt idx="227">
                  <c:v>9.1406249999999994E-2</c:v>
                </c:pt>
                <c:pt idx="228">
                  <c:v>9.1803124999999999E-2</c:v>
                </c:pt>
                <c:pt idx="229">
                  <c:v>9.2200000000000004E-2</c:v>
                </c:pt>
                <c:pt idx="230">
                  <c:v>9.2596874999999995E-2</c:v>
                </c:pt>
                <c:pt idx="231">
                  <c:v>9.3046875000000001E-2</c:v>
                </c:pt>
                <c:pt idx="232">
                  <c:v>9.3437500000000007E-2</c:v>
                </c:pt>
                <c:pt idx="233">
                  <c:v>9.3837500000000004E-2</c:v>
                </c:pt>
                <c:pt idx="234">
                  <c:v>9.4234374999999995E-2</c:v>
                </c:pt>
                <c:pt idx="235">
                  <c:v>9.4681249999999995E-2</c:v>
                </c:pt>
                <c:pt idx="236">
                  <c:v>9.5078124999999999E-2</c:v>
                </c:pt>
                <c:pt idx="237">
                  <c:v>9.5468750000000005E-2</c:v>
                </c:pt>
                <c:pt idx="238">
                  <c:v>9.5868750000000003E-2</c:v>
                </c:pt>
                <c:pt idx="239">
                  <c:v>9.6262500000000001E-2</c:v>
                </c:pt>
                <c:pt idx="240">
                  <c:v>9.6712500000000007E-2</c:v>
                </c:pt>
                <c:pt idx="241">
                  <c:v>9.7118750000000004E-2</c:v>
                </c:pt>
                <c:pt idx="242">
                  <c:v>9.7515624999999995E-2</c:v>
                </c:pt>
                <c:pt idx="243">
                  <c:v>9.7909375000000007E-2</c:v>
                </c:pt>
                <c:pt idx="244">
                  <c:v>9.8290625000000006E-2</c:v>
                </c:pt>
                <c:pt idx="245">
                  <c:v>9.8737500000000006E-2</c:v>
                </c:pt>
                <c:pt idx="246">
                  <c:v>9.9137500000000003E-2</c:v>
                </c:pt>
                <c:pt idx="247">
                  <c:v>9.9528124999999995E-2</c:v>
                </c:pt>
                <c:pt idx="248">
                  <c:v>9.9934375000000006E-2</c:v>
                </c:pt>
                <c:pt idx="249">
                  <c:v>0.100378125</c:v>
                </c:pt>
                <c:pt idx="250">
                  <c:v>0.10078125</c:v>
                </c:pt>
                <c:pt idx="251">
                  <c:v>0.10119375</c:v>
                </c:pt>
                <c:pt idx="252">
                  <c:v>0.10158125</c:v>
                </c:pt>
                <c:pt idx="253">
                  <c:v>0.10198125</c:v>
                </c:pt>
                <c:pt idx="254">
                  <c:v>0.102421875</c:v>
                </c:pt>
                <c:pt idx="255">
                  <c:v>0.10281875</c:v>
                </c:pt>
                <c:pt idx="256">
                  <c:v>0.10321562500000001</c:v>
                </c:pt>
                <c:pt idx="257">
                  <c:v>0.103609375</c:v>
                </c:pt>
                <c:pt idx="258">
                  <c:v>0.10406562499999999</c:v>
                </c:pt>
                <c:pt idx="259">
                  <c:v>0.10445625</c:v>
                </c:pt>
                <c:pt idx="260">
                  <c:v>0.10485312500000001</c:v>
                </c:pt>
                <c:pt idx="261">
                  <c:v>0.1052375</c:v>
                </c:pt>
                <c:pt idx="262">
                  <c:v>0.1056375</c:v>
                </c:pt>
                <c:pt idx="263">
                  <c:v>0.1060875</c:v>
                </c:pt>
                <c:pt idx="264">
                  <c:v>0.10648437500000001</c:v>
                </c:pt>
                <c:pt idx="265">
                  <c:v>0.106884375</c:v>
                </c:pt>
                <c:pt idx="266">
                  <c:v>0.107278125</c:v>
                </c:pt>
                <c:pt idx="267">
                  <c:v>0.10766874999999999</c:v>
                </c:pt>
                <c:pt idx="268">
                  <c:v>0.10811562500000001</c:v>
                </c:pt>
                <c:pt idx="269">
                  <c:v>0.10850312500000001</c:v>
                </c:pt>
                <c:pt idx="270">
                  <c:v>0.108903125</c:v>
                </c:pt>
                <c:pt idx="271">
                  <c:v>0.109296875</c:v>
                </c:pt>
                <c:pt idx="272">
                  <c:v>0.10974375</c:v>
                </c:pt>
                <c:pt idx="273">
                  <c:v>0.1101375</c:v>
                </c:pt>
                <c:pt idx="274">
                  <c:v>0.1105375</c:v>
                </c:pt>
                <c:pt idx="275">
                  <c:v>0.11094374999999999</c:v>
                </c:pt>
                <c:pt idx="276">
                  <c:v>0.111340625</c:v>
                </c:pt>
                <c:pt idx="277">
                  <c:v>0.11177187500000001</c:v>
                </c:pt>
                <c:pt idx="278">
                  <c:v>0.112165625</c:v>
                </c:pt>
                <c:pt idx="279">
                  <c:v>0.112565625</c:v>
                </c:pt>
                <c:pt idx="280">
                  <c:v>0.11296249999999999</c:v>
                </c:pt>
                <c:pt idx="281">
                  <c:v>0.11340625</c:v>
                </c:pt>
                <c:pt idx="282">
                  <c:v>0.113809375</c:v>
                </c:pt>
                <c:pt idx="283">
                  <c:v>0.114215625</c:v>
                </c:pt>
                <c:pt idx="284">
                  <c:v>0.114603125</c:v>
                </c:pt>
                <c:pt idx="285">
                  <c:v>0.114990625</c:v>
                </c:pt>
                <c:pt idx="286">
                  <c:v>0.11544375</c:v>
                </c:pt>
                <c:pt idx="287">
                  <c:v>0.11583125</c:v>
                </c:pt>
                <c:pt idx="288">
                  <c:v>0.11623124999999999</c:v>
                </c:pt>
                <c:pt idx="289">
                  <c:v>0.116621875</c:v>
                </c:pt>
                <c:pt idx="290">
                  <c:v>0.117028125</c:v>
                </c:pt>
                <c:pt idx="291">
                  <c:v>0.117478125</c:v>
                </c:pt>
                <c:pt idx="292">
                  <c:v>0.117878125</c:v>
                </c:pt>
                <c:pt idx="293">
                  <c:v>0.11828125</c:v>
                </c:pt>
                <c:pt idx="294">
                  <c:v>0.118671875</c:v>
                </c:pt>
                <c:pt idx="295">
                  <c:v>0.1191125</c:v>
                </c:pt>
                <c:pt idx="296">
                  <c:v>0.119509375</c:v>
                </c:pt>
                <c:pt idx="297">
                  <c:v>0.119909375</c:v>
                </c:pt>
                <c:pt idx="298">
                  <c:v>0.12029375</c:v>
                </c:pt>
                <c:pt idx="299">
                  <c:v>0.12068125</c:v>
                </c:pt>
                <c:pt idx="300">
                  <c:v>0.121128125</c:v>
                </c:pt>
                <c:pt idx="301">
                  <c:v>0.121521875</c:v>
                </c:pt>
                <c:pt idx="302">
                  <c:v>0.12191875000000001</c:v>
                </c:pt>
                <c:pt idx="303">
                  <c:v>0.12230625000000001</c:v>
                </c:pt>
                <c:pt idx="304">
                  <c:v>0.1227625</c:v>
                </c:pt>
                <c:pt idx="305">
                  <c:v>0.123165625</c:v>
                </c:pt>
                <c:pt idx="306">
                  <c:v>0.123553125</c:v>
                </c:pt>
                <c:pt idx="307">
                  <c:v>0.123953125</c:v>
                </c:pt>
                <c:pt idx="308">
                  <c:v>0.12434375</c:v>
                </c:pt>
                <c:pt idx="309">
                  <c:v>0.124790625</c:v>
                </c:pt>
                <c:pt idx="310">
                  <c:v>0.125190625</c:v>
                </c:pt>
                <c:pt idx="311">
                  <c:v>0.125571875</c:v>
                </c:pt>
                <c:pt idx="312">
                  <c:v>0.12598124999999999</c:v>
                </c:pt>
                <c:pt idx="313">
                  <c:v>0.12636875</c:v>
                </c:pt>
                <c:pt idx="314">
                  <c:v>0.12681875000000001</c:v>
                </c:pt>
                <c:pt idx="315">
                  <c:v>0.127215625</c:v>
                </c:pt>
                <c:pt idx="316">
                  <c:v>0.12761249999999999</c:v>
                </c:pt>
                <c:pt idx="317">
                  <c:v>0.12801874999999999</c:v>
                </c:pt>
                <c:pt idx="318">
                  <c:v>0.128465625</c:v>
                </c:pt>
                <c:pt idx="319">
                  <c:v>0.12886249999999999</c:v>
                </c:pt>
                <c:pt idx="320">
                  <c:v>0.1292625</c:v>
                </c:pt>
                <c:pt idx="321">
                  <c:v>0.12965312500000001</c:v>
                </c:pt>
                <c:pt idx="322">
                  <c:v>0.13004687500000001</c:v>
                </c:pt>
                <c:pt idx="323">
                  <c:v>0.13049374999999999</c:v>
                </c:pt>
                <c:pt idx="324">
                  <c:v>0.13088749999999999</c:v>
                </c:pt>
                <c:pt idx="325">
                  <c:v>0.13128437500000001</c:v>
                </c:pt>
                <c:pt idx="326">
                  <c:v>0.13168125</c:v>
                </c:pt>
                <c:pt idx="327">
                  <c:v>0.13212812500000001</c:v>
                </c:pt>
                <c:pt idx="328">
                  <c:v>0.132515625</c:v>
                </c:pt>
                <c:pt idx="329">
                  <c:v>0.13291875</c:v>
                </c:pt>
                <c:pt idx="330">
                  <c:v>0.1333125</c:v>
                </c:pt>
                <c:pt idx="331">
                  <c:v>0.13370625</c:v>
                </c:pt>
                <c:pt idx="332">
                  <c:v>0.13415625</c:v>
                </c:pt>
                <c:pt idx="333">
                  <c:v>0.13455624999999999</c:v>
                </c:pt>
                <c:pt idx="334">
                  <c:v>0.13495625</c:v>
                </c:pt>
                <c:pt idx="335">
                  <c:v>0.13535</c:v>
                </c:pt>
                <c:pt idx="336">
                  <c:v>0.13574375</c:v>
                </c:pt>
                <c:pt idx="337">
                  <c:v>0.136184375</c:v>
                </c:pt>
                <c:pt idx="338">
                  <c:v>0.13658124999999999</c:v>
                </c:pt>
                <c:pt idx="339">
                  <c:v>0.13697500000000001</c:v>
                </c:pt>
                <c:pt idx="340">
                  <c:v>0.13736562499999999</c:v>
                </c:pt>
                <c:pt idx="341">
                  <c:v>0.1378125</c:v>
                </c:pt>
                <c:pt idx="342">
                  <c:v>0.13821562500000001</c:v>
                </c:pt>
                <c:pt idx="343">
                  <c:v>0.13860624999999999</c:v>
                </c:pt>
                <c:pt idx="344">
                  <c:v>0.13900937499999999</c:v>
                </c:pt>
                <c:pt idx="345">
                  <c:v>0.139396875</c:v>
                </c:pt>
                <c:pt idx="346">
                  <c:v>0.1398375</c:v>
                </c:pt>
                <c:pt idx="347">
                  <c:v>0.14024375</c:v>
                </c:pt>
                <c:pt idx="348">
                  <c:v>0.14063437500000001</c:v>
                </c:pt>
                <c:pt idx="349">
                  <c:v>0.14103437499999999</c:v>
                </c:pt>
                <c:pt idx="350">
                  <c:v>0.14143125000000001</c:v>
                </c:pt>
                <c:pt idx="351">
                  <c:v>0.14187812499999999</c:v>
                </c:pt>
                <c:pt idx="352">
                  <c:v>0.14228125</c:v>
                </c:pt>
                <c:pt idx="353">
                  <c:v>0.142671875</c:v>
                </c:pt>
                <c:pt idx="354">
                  <c:v>0.14308124999999999</c:v>
                </c:pt>
                <c:pt idx="355">
                  <c:v>0.14351875</c:v>
                </c:pt>
                <c:pt idx="356">
                  <c:v>0.14391875000000001</c:v>
                </c:pt>
                <c:pt idx="357">
                  <c:v>0.144315625</c:v>
                </c:pt>
                <c:pt idx="358">
                  <c:v>0.144709375</c:v>
                </c:pt>
              </c:numCache>
            </c:numRef>
          </c:xVal>
          <c:yVal>
            <c:numRef>
              <c:f>'SMT Data Report'!$D$24:$D$382</c:f>
              <c:numCache>
                <c:formatCode>General</c:formatCode>
                <c:ptCount val="359"/>
                <c:pt idx="0">
                  <c:v>5.4801324503311255</c:v>
                </c:pt>
                <c:pt idx="1">
                  <c:v>5.4801324503311255</c:v>
                </c:pt>
                <c:pt idx="2">
                  <c:v>5.4801324503311255</c:v>
                </c:pt>
                <c:pt idx="3">
                  <c:v>5.4801324503311255</c:v>
                </c:pt>
                <c:pt idx="4">
                  <c:v>5.4801324503311255</c:v>
                </c:pt>
                <c:pt idx="5">
                  <c:v>5.8885209713024285</c:v>
                </c:pt>
                <c:pt idx="6">
                  <c:v>8.1236203090507715</c:v>
                </c:pt>
                <c:pt idx="7">
                  <c:v>12.991169977924944</c:v>
                </c:pt>
                <c:pt idx="8">
                  <c:v>21.114790286975719</c:v>
                </c:pt>
                <c:pt idx="9">
                  <c:v>32.075055187637972</c:v>
                </c:pt>
                <c:pt idx="10">
                  <c:v>42.025386313465781</c:v>
                </c:pt>
                <c:pt idx="11">
                  <c:v>51.567328918322289</c:v>
                </c:pt>
                <c:pt idx="12">
                  <c:v>60.298013245033104</c:v>
                </c:pt>
                <c:pt idx="13">
                  <c:v>68.620309050772633</c:v>
                </c:pt>
                <c:pt idx="14">
                  <c:v>77.350993377483434</c:v>
                </c:pt>
                <c:pt idx="15">
                  <c:v>84.459161147902876</c:v>
                </c:pt>
                <c:pt idx="16">
                  <c:v>91.158940397350989</c:v>
                </c:pt>
                <c:pt idx="17">
                  <c:v>97.450331125827802</c:v>
                </c:pt>
                <c:pt idx="18">
                  <c:v>102.93046357615893</c:v>
                </c:pt>
                <c:pt idx="19">
                  <c:v>108.6147902869757</c:v>
                </c:pt>
                <c:pt idx="20">
                  <c:v>113.08498896247239</c:v>
                </c:pt>
                <c:pt idx="21">
                  <c:v>117.14128035320087</c:v>
                </c:pt>
                <c:pt idx="22">
                  <c:v>120.80022075055187</c:v>
                </c:pt>
                <c:pt idx="23">
                  <c:v>124.45364238410595</c:v>
                </c:pt>
                <c:pt idx="24">
                  <c:v>126.68322295805739</c:v>
                </c:pt>
                <c:pt idx="25">
                  <c:v>129.93377483443709</c:v>
                </c:pt>
                <c:pt idx="26">
                  <c:v>132.16887417218544</c:v>
                </c:pt>
                <c:pt idx="27">
                  <c:v>134.19977924944811</c:v>
                </c:pt>
                <c:pt idx="28">
                  <c:v>136.02649006622516</c:v>
                </c:pt>
                <c:pt idx="29">
                  <c:v>137.44481236203089</c:v>
                </c:pt>
                <c:pt idx="30">
                  <c:v>138.6644591611479</c:v>
                </c:pt>
                <c:pt idx="31">
                  <c:v>139.88410596026489</c:v>
                </c:pt>
                <c:pt idx="32">
                  <c:v>140.89955849889623</c:v>
                </c:pt>
                <c:pt idx="33">
                  <c:v>141.90949227373068</c:v>
                </c:pt>
                <c:pt idx="34">
                  <c:v>142.52207505518763</c:v>
                </c:pt>
                <c:pt idx="35">
                  <c:v>143.12913907284766</c:v>
                </c:pt>
                <c:pt idx="36">
                  <c:v>143.74172185430461</c:v>
                </c:pt>
                <c:pt idx="37">
                  <c:v>144.55298013245033</c:v>
                </c:pt>
                <c:pt idx="38">
                  <c:v>144.95584988962472</c:v>
                </c:pt>
                <c:pt idx="39">
                  <c:v>145.36423841059602</c:v>
                </c:pt>
                <c:pt idx="40">
                  <c:v>145.76710816777043</c:v>
                </c:pt>
                <c:pt idx="41">
                  <c:v>145.97130242825605</c:v>
                </c:pt>
                <c:pt idx="42">
                  <c:v>146.1754966887417</c:v>
                </c:pt>
                <c:pt idx="43">
                  <c:v>146.583885209713</c:v>
                </c:pt>
                <c:pt idx="44">
                  <c:v>146.78256070640174</c:v>
                </c:pt>
                <c:pt idx="45">
                  <c:v>146.98675496688742</c:v>
                </c:pt>
                <c:pt idx="46">
                  <c:v>146.98675496688742</c:v>
                </c:pt>
                <c:pt idx="47">
                  <c:v>147.19094922737307</c:v>
                </c:pt>
                <c:pt idx="48">
                  <c:v>147.19094922737307</c:v>
                </c:pt>
                <c:pt idx="49">
                  <c:v>147.39514348785872</c:v>
                </c:pt>
                <c:pt idx="50">
                  <c:v>147.39514348785872</c:v>
                </c:pt>
                <c:pt idx="51">
                  <c:v>147.59933774834437</c:v>
                </c:pt>
                <c:pt idx="52">
                  <c:v>147.59933774834437</c:v>
                </c:pt>
                <c:pt idx="53">
                  <c:v>147.59933774834437</c:v>
                </c:pt>
                <c:pt idx="54">
                  <c:v>147.59933774834437</c:v>
                </c:pt>
                <c:pt idx="55">
                  <c:v>147.59933774834437</c:v>
                </c:pt>
                <c:pt idx="56">
                  <c:v>147.59933774834437</c:v>
                </c:pt>
                <c:pt idx="57">
                  <c:v>147.59933774834437</c:v>
                </c:pt>
                <c:pt idx="58">
                  <c:v>147.59933774834437</c:v>
                </c:pt>
                <c:pt idx="59">
                  <c:v>147.59933774834437</c:v>
                </c:pt>
                <c:pt idx="60">
                  <c:v>147.59933774834437</c:v>
                </c:pt>
                <c:pt idx="61">
                  <c:v>147.59933774834437</c:v>
                </c:pt>
                <c:pt idx="62">
                  <c:v>147.39514348785872</c:v>
                </c:pt>
                <c:pt idx="63">
                  <c:v>147.39514348785872</c:v>
                </c:pt>
                <c:pt idx="64">
                  <c:v>147.39514348785872</c:v>
                </c:pt>
                <c:pt idx="65">
                  <c:v>147.39514348785872</c:v>
                </c:pt>
                <c:pt idx="66">
                  <c:v>147.39514348785872</c:v>
                </c:pt>
                <c:pt idx="67">
                  <c:v>147.59933774834437</c:v>
                </c:pt>
                <c:pt idx="68">
                  <c:v>147.59933774834437</c:v>
                </c:pt>
                <c:pt idx="69">
                  <c:v>147.39514348785872</c:v>
                </c:pt>
                <c:pt idx="70">
                  <c:v>147.39514348785872</c:v>
                </c:pt>
                <c:pt idx="71">
                  <c:v>147.19094922737307</c:v>
                </c:pt>
                <c:pt idx="72">
                  <c:v>147.19094922737307</c:v>
                </c:pt>
                <c:pt idx="73">
                  <c:v>147.19094922737307</c:v>
                </c:pt>
                <c:pt idx="74">
                  <c:v>147.19094922737307</c:v>
                </c:pt>
                <c:pt idx="75">
                  <c:v>146.98675496688742</c:v>
                </c:pt>
                <c:pt idx="76">
                  <c:v>146.98675496688742</c:v>
                </c:pt>
                <c:pt idx="77">
                  <c:v>146.78256070640174</c:v>
                </c:pt>
                <c:pt idx="78">
                  <c:v>146.78256070640174</c:v>
                </c:pt>
                <c:pt idx="79">
                  <c:v>146.78256070640174</c:v>
                </c:pt>
                <c:pt idx="80">
                  <c:v>146.583885209713</c:v>
                </c:pt>
                <c:pt idx="81">
                  <c:v>146.583885209713</c:v>
                </c:pt>
                <c:pt idx="82">
                  <c:v>146.37969094922738</c:v>
                </c:pt>
                <c:pt idx="83">
                  <c:v>146.1754966887417</c:v>
                </c:pt>
                <c:pt idx="84">
                  <c:v>146.1754966887417</c:v>
                </c:pt>
                <c:pt idx="85">
                  <c:v>145.76710816777043</c:v>
                </c:pt>
                <c:pt idx="86">
                  <c:v>145.56843267108167</c:v>
                </c:pt>
                <c:pt idx="87">
                  <c:v>145.56843267108167</c:v>
                </c:pt>
                <c:pt idx="88">
                  <c:v>145.16004415011037</c:v>
                </c:pt>
                <c:pt idx="89">
                  <c:v>144.95584988962472</c:v>
                </c:pt>
                <c:pt idx="90">
                  <c:v>144.95584988962472</c:v>
                </c:pt>
                <c:pt idx="91">
                  <c:v>144.75165562913907</c:v>
                </c:pt>
                <c:pt idx="92">
                  <c:v>144.55298013245033</c:v>
                </c:pt>
                <c:pt idx="93">
                  <c:v>144.34878587196468</c:v>
                </c:pt>
                <c:pt idx="94">
                  <c:v>144.14459161147903</c:v>
                </c:pt>
                <c:pt idx="95">
                  <c:v>143.94039735099335</c:v>
                </c:pt>
                <c:pt idx="96">
                  <c:v>143.74172185430461</c:v>
                </c:pt>
                <c:pt idx="97">
                  <c:v>143.53752759381899</c:v>
                </c:pt>
                <c:pt idx="98">
                  <c:v>143.33333333333331</c:v>
                </c:pt>
                <c:pt idx="99">
                  <c:v>143.12913907284766</c:v>
                </c:pt>
                <c:pt idx="100">
                  <c:v>142.92494481236204</c:v>
                </c:pt>
                <c:pt idx="101">
                  <c:v>142.72626931567328</c:v>
                </c:pt>
                <c:pt idx="102">
                  <c:v>142.52207505518763</c:v>
                </c:pt>
                <c:pt idx="103">
                  <c:v>142.31788079470198</c:v>
                </c:pt>
                <c:pt idx="104">
                  <c:v>142.11368653421633</c:v>
                </c:pt>
                <c:pt idx="105">
                  <c:v>141.90949227373068</c:v>
                </c:pt>
                <c:pt idx="106">
                  <c:v>141.71081677704194</c:v>
                </c:pt>
                <c:pt idx="107">
                  <c:v>141.50662251655629</c:v>
                </c:pt>
                <c:pt idx="108">
                  <c:v>141.30242825607064</c:v>
                </c:pt>
                <c:pt idx="109">
                  <c:v>141.09823399558496</c:v>
                </c:pt>
                <c:pt idx="110">
                  <c:v>140.89955849889623</c:v>
                </c:pt>
                <c:pt idx="111">
                  <c:v>140.6953642384106</c:v>
                </c:pt>
                <c:pt idx="112">
                  <c:v>140.49116997792493</c:v>
                </c:pt>
                <c:pt idx="113">
                  <c:v>140.28697571743928</c:v>
                </c:pt>
                <c:pt idx="114">
                  <c:v>139.88410596026489</c:v>
                </c:pt>
                <c:pt idx="115">
                  <c:v>139.67991169977924</c:v>
                </c:pt>
                <c:pt idx="116">
                  <c:v>139.47571743929359</c:v>
                </c:pt>
                <c:pt idx="117">
                  <c:v>139.27152317880794</c:v>
                </c:pt>
                <c:pt idx="118">
                  <c:v>139.06732891832229</c:v>
                </c:pt>
                <c:pt idx="119">
                  <c:v>138.6644591611479</c:v>
                </c:pt>
                <c:pt idx="120">
                  <c:v>138.25607064017657</c:v>
                </c:pt>
                <c:pt idx="121">
                  <c:v>137.85320088300222</c:v>
                </c:pt>
                <c:pt idx="122">
                  <c:v>137.64900662251654</c:v>
                </c:pt>
                <c:pt idx="123">
                  <c:v>137.24061810154527</c:v>
                </c:pt>
                <c:pt idx="124">
                  <c:v>137.0419426048565</c:v>
                </c:pt>
                <c:pt idx="125">
                  <c:v>136.83774834437085</c:v>
                </c:pt>
                <c:pt idx="126">
                  <c:v>136.42935982339955</c:v>
                </c:pt>
                <c:pt idx="127">
                  <c:v>136.2251655629139</c:v>
                </c:pt>
                <c:pt idx="128">
                  <c:v>136.02649006622516</c:v>
                </c:pt>
                <c:pt idx="129">
                  <c:v>135.61810154525386</c:v>
                </c:pt>
                <c:pt idx="130">
                  <c:v>135.41390728476819</c:v>
                </c:pt>
                <c:pt idx="131">
                  <c:v>135.20971302428256</c:v>
                </c:pt>
                <c:pt idx="132">
                  <c:v>134.80684326710815</c:v>
                </c:pt>
                <c:pt idx="133">
                  <c:v>134.6026490066225</c:v>
                </c:pt>
                <c:pt idx="134">
                  <c:v>134.19977924944811</c:v>
                </c:pt>
                <c:pt idx="135">
                  <c:v>133.99558498896246</c:v>
                </c:pt>
                <c:pt idx="136">
                  <c:v>133.58719646799116</c:v>
                </c:pt>
                <c:pt idx="137">
                  <c:v>133.38300220750551</c:v>
                </c:pt>
                <c:pt idx="138">
                  <c:v>133.18432671081678</c:v>
                </c:pt>
                <c:pt idx="139">
                  <c:v>132.77593818984548</c:v>
                </c:pt>
                <c:pt idx="140">
                  <c:v>132.36754966887418</c:v>
                </c:pt>
                <c:pt idx="141">
                  <c:v>132.16887417218544</c:v>
                </c:pt>
                <c:pt idx="142">
                  <c:v>131.96467991169976</c:v>
                </c:pt>
                <c:pt idx="143">
                  <c:v>131.55629139072849</c:v>
                </c:pt>
                <c:pt idx="144">
                  <c:v>131.35761589403972</c:v>
                </c:pt>
                <c:pt idx="145">
                  <c:v>130.94922737306842</c:v>
                </c:pt>
                <c:pt idx="146">
                  <c:v>130.74503311258277</c:v>
                </c:pt>
                <c:pt idx="147">
                  <c:v>130.34216335540839</c:v>
                </c:pt>
                <c:pt idx="148">
                  <c:v>129.93377483443709</c:v>
                </c:pt>
                <c:pt idx="149">
                  <c:v>129.52538631346579</c:v>
                </c:pt>
                <c:pt idx="150">
                  <c:v>129.32671081677705</c:v>
                </c:pt>
                <c:pt idx="151">
                  <c:v>128.91832229580572</c:v>
                </c:pt>
                <c:pt idx="152">
                  <c:v>128.50993377483442</c:v>
                </c:pt>
                <c:pt idx="153">
                  <c:v>128.31125827814569</c:v>
                </c:pt>
                <c:pt idx="154">
                  <c:v>127.90286975717439</c:v>
                </c:pt>
                <c:pt idx="155">
                  <c:v>127.69867549668874</c:v>
                </c:pt>
                <c:pt idx="156">
                  <c:v>127.29580573951434</c:v>
                </c:pt>
                <c:pt idx="157">
                  <c:v>126.68322295805739</c:v>
                </c:pt>
                <c:pt idx="158">
                  <c:v>126.28035320088298</c:v>
                </c:pt>
                <c:pt idx="159">
                  <c:v>125.8719646799117</c:v>
                </c:pt>
                <c:pt idx="160">
                  <c:v>125.4690949227373</c:v>
                </c:pt>
                <c:pt idx="161">
                  <c:v>125.060706401766</c:v>
                </c:pt>
                <c:pt idx="162">
                  <c:v>124.65783664459161</c:v>
                </c:pt>
                <c:pt idx="163">
                  <c:v>124.24944812362031</c:v>
                </c:pt>
                <c:pt idx="164">
                  <c:v>123.841059602649</c:v>
                </c:pt>
                <c:pt idx="165">
                  <c:v>123.64238410596026</c:v>
                </c:pt>
                <c:pt idx="166">
                  <c:v>123.23399558498896</c:v>
                </c:pt>
                <c:pt idx="167">
                  <c:v>122.82560706401765</c:v>
                </c:pt>
                <c:pt idx="168">
                  <c:v>122.42273730684327</c:v>
                </c:pt>
                <c:pt idx="169">
                  <c:v>122.21854304635761</c:v>
                </c:pt>
                <c:pt idx="170">
                  <c:v>121.8101545253863</c:v>
                </c:pt>
                <c:pt idx="171">
                  <c:v>121.20309050772626</c:v>
                </c:pt>
                <c:pt idx="172">
                  <c:v>120.80022075055187</c:v>
                </c:pt>
                <c:pt idx="173">
                  <c:v>120.39183222958057</c:v>
                </c:pt>
                <c:pt idx="174">
                  <c:v>119.98344370860926</c:v>
                </c:pt>
                <c:pt idx="175">
                  <c:v>119.58057395143489</c:v>
                </c:pt>
                <c:pt idx="176">
                  <c:v>119.17218543046357</c:v>
                </c:pt>
                <c:pt idx="177">
                  <c:v>118.76931567328917</c:v>
                </c:pt>
                <c:pt idx="178">
                  <c:v>118.36092715231787</c:v>
                </c:pt>
                <c:pt idx="179">
                  <c:v>117.95805739514348</c:v>
                </c:pt>
                <c:pt idx="180">
                  <c:v>117.34547461368653</c:v>
                </c:pt>
                <c:pt idx="181">
                  <c:v>116.94260485651213</c:v>
                </c:pt>
                <c:pt idx="182">
                  <c:v>116.33002207505518</c:v>
                </c:pt>
                <c:pt idx="183">
                  <c:v>115.92715231788078</c:v>
                </c:pt>
                <c:pt idx="184">
                  <c:v>115.51876379690948</c:v>
                </c:pt>
                <c:pt idx="185">
                  <c:v>114.91169977924943</c:v>
                </c:pt>
                <c:pt idx="186">
                  <c:v>114.50331125827815</c:v>
                </c:pt>
                <c:pt idx="187">
                  <c:v>113.89624724061811</c:v>
                </c:pt>
                <c:pt idx="188">
                  <c:v>113.28366445916113</c:v>
                </c:pt>
                <c:pt idx="189">
                  <c:v>112.88079470198676</c:v>
                </c:pt>
                <c:pt idx="190">
                  <c:v>112.26821192052979</c:v>
                </c:pt>
                <c:pt idx="191">
                  <c:v>111.86534216335541</c:v>
                </c:pt>
                <c:pt idx="192">
                  <c:v>111.25827814569536</c:v>
                </c:pt>
                <c:pt idx="193">
                  <c:v>110.64569536423841</c:v>
                </c:pt>
                <c:pt idx="194">
                  <c:v>110.03863134657837</c:v>
                </c:pt>
                <c:pt idx="195">
                  <c:v>109.42604856512141</c:v>
                </c:pt>
                <c:pt idx="196">
                  <c:v>108.81898454746135</c:v>
                </c:pt>
                <c:pt idx="197">
                  <c:v>108.21192052980132</c:v>
                </c:pt>
                <c:pt idx="198">
                  <c:v>107.59933774834437</c:v>
                </c:pt>
                <c:pt idx="199">
                  <c:v>106.99227373068432</c:v>
                </c:pt>
                <c:pt idx="200">
                  <c:v>106.38520971302428</c:v>
                </c:pt>
                <c:pt idx="201">
                  <c:v>105.97682119205297</c:v>
                </c:pt>
                <c:pt idx="202">
                  <c:v>105.36975717439293</c:v>
                </c:pt>
                <c:pt idx="203">
                  <c:v>104.55849889624723</c:v>
                </c:pt>
                <c:pt idx="204">
                  <c:v>103.94591611479028</c:v>
                </c:pt>
                <c:pt idx="205">
                  <c:v>103.33885209713024</c:v>
                </c:pt>
                <c:pt idx="206">
                  <c:v>102.72626931567329</c:v>
                </c:pt>
                <c:pt idx="207">
                  <c:v>102.11920529801324</c:v>
                </c:pt>
                <c:pt idx="208">
                  <c:v>101.51214128035321</c:v>
                </c:pt>
                <c:pt idx="209">
                  <c:v>100.7008830022075</c:v>
                </c:pt>
                <c:pt idx="210">
                  <c:v>99.884105960264904</c:v>
                </c:pt>
                <c:pt idx="211">
                  <c:v>99.277041942604853</c:v>
                </c:pt>
                <c:pt idx="212">
                  <c:v>98.465783664459153</c:v>
                </c:pt>
                <c:pt idx="213">
                  <c:v>97.654525386313466</c:v>
                </c:pt>
                <c:pt idx="214">
                  <c:v>96.843267108167765</c:v>
                </c:pt>
                <c:pt idx="215">
                  <c:v>95.827814569536429</c:v>
                </c:pt>
                <c:pt idx="216">
                  <c:v>95.016556291390728</c:v>
                </c:pt>
                <c:pt idx="217">
                  <c:v>93.796909492273727</c:v>
                </c:pt>
                <c:pt idx="218">
                  <c:v>92.373068432671076</c:v>
                </c:pt>
                <c:pt idx="219">
                  <c:v>90.143487858719652</c:v>
                </c:pt>
                <c:pt idx="220">
                  <c:v>86.892935982339949</c:v>
                </c:pt>
                <c:pt idx="221">
                  <c:v>83.03532008830021</c:v>
                </c:pt>
                <c:pt idx="222">
                  <c:v>79.988962472406186</c:v>
                </c:pt>
                <c:pt idx="223">
                  <c:v>77.146799116997798</c:v>
                </c:pt>
                <c:pt idx="224">
                  <c:v>74.713024282560696</c:v>
                </c:pt>
                <c:pt idx="225">
                  <c:v>72.075055187637972</c:v>
                </c:pt>
                <c:pt idx="226">
                  <c:v>69.232891832229583</c:v>
                </c:pt>
                <c:pt idx="227">
                  <c:v>66.793598233995581</c:v>
                </c:pt>
                <c:pt idx="228">
                  <c:v>64.762693156732894</c:v>
                </c:pt>
                <c:pt idx="229">
                  <c:v>62.731788079470199</c:v>
                </c:pt>
                <c:pt idx="230">
                  <c:v>60.700883002207505</c:v>
                </c:pt>
                <c:pt idx="231">
                  <c:v>58.267108167770417</c:v>
                </c:pt>
                <c:pt idx="232">
                  <c:v>56.032008830022072</c:v>
                </c:pt>
                <c:pt idx="233">
                  <c:v>54.001103752759377</c:v>
                </c:pt>
                <c:pt idx="234">
                  <c:v>51.771523178807946</c:v>
                </c:pt>
                <c:pt idx="235">
                  <c:v>49.536423841059602</c:v>
                </c:pt>
                <c:pt idx="236">
                  <c:v>47.301324503311257</c:v>
                </c:pt>
                <c:pt idx="237">
                  <c:v>45.275938189845469</c:v>
                </c:pt>
                <c:pt idx="238">
                  <c:v>43.040838852097124</c:v>
                </c:pt>
                <c:pt idx="239">
                  <c:v>41.214128035320087</c:v>
                </c:pt>
                <c:pt idx="240">
                  <c:v>38.979028697571742</c:v>
                </c:pt>
                <c:pt idx="241">
                  <c:v>36.749448123620304</c:v>
                </c:pt>
                <c:pt idx="242">
                  <c:v>34.51434878587196</c:v>
                </c:pt>
                <c:pt idx="243">
                  <c:v>32.075055187637972</c:v>
                </c:pt>
                <c:pt idx="244">
                  <c:v>29.641280353200884</c:v>
                </c:pt>
                <c:pt idx="245">
                  <c:v>27.207505518763796</c:v>
                </c:pt>
                <c:pt idx="246">
                  <c:v>25.176600441501101</c:v>
                </c:pt>
                <c:pt idx="247">
                  <c:v>23.145695364238406</c:v>
                </c:pt>
                <c:pt idx="248">
                  <c:v>21.517660044150109</c:v>
                </c:pt>
                <c:pt idx="249">
                  <c:v>19.690949227373068</c:v>
                </c:pt>
                <c:pt idx="250">
                  <c:v>18.272626931567331</c:v>
                </c:pt>
                <c:pt idx="251">
                  <c:v>16.650110375275936</c:v>
                </c:pt>
                <c:pt idx="252">
                  <c:v>15.226269315673287</c:v>
                </c:pt>
                <c:pt idx="253">
                  <c:v>14.006622516556291</c:v>
                </c:pt>
                <c:pt idx="254">
                  <c:v>12.588300220750551</c:v>
                </c:pt>
                <c:pt idx="255">
                  <c:v>11.368653421633553</c:v>
                </c:pt>
                <c:pt idx="256">
                  <c:v>10.353200883002206</c:v>
                </c:pt>
                <c:pt idx="257">
                  <c:v>9.5419426048565121</c:v>
                </c:pt>
                <c:pt idx="258">
                  <c:v>8.5264900662251648</c:v>
                </c:pt>
                <c:pt idx="259">
                  <c:v>7.9194260485651213</c:v>
                </c:pt>
                <c:pt idx="260">
                  <c:v>7.3068432671081673</c:v>
                </c:pt>
                <c:pt idx="261">
                  <c:v>6.4955849889624719</c:v>
                </c:pt>
                <c:pt idx="262">
                  <c:v>5.8885209713024285</c:v>
                </c:pt>
                <c:pt idx="263">
                  <c:v>5.2759381898454736</c:v>
                </c:pt>
                <c:pt idx="264">
                  <c:v>4.6688741721854301</c:v>
                </c:pt>
                <c:pt idx="265">
                  <c:v>4.2660044150110368</c:v>
                </c:pt>
                <c:pt idx="266">
                  <c:v>3.6534216335540837</c:v>
                </c:pt>
                <c:pt idx="267">
                  <c:v>3.4492273730684326</c:v>
                </c:pt>
                <c:pt idx="268">
                  <c:v>3.0463576158940397</c:v>
                </c:pt>
                <c:pt idx="269">
                  <c:v>2.8421633554083883</c:v>
                </c:pt>
                <c:pt idx="270">
                  <c:v>2.6379690949227368</c:v>
                </c:pt>
                <c:pt idx="271">
                  <c:v>2.4337748344370862</c:v>
                </c:pt>
                <c:pt idx="272">
                  <c:v>2.2350993377483444</c:v>
                </c:pt>
                <c:pt idx="273">
                  <c:v>2.0309050772626929</c:v>
                </c:pt>
                <c:pt idx="274">
                  <c:v>1.8267108167770418</c:v>
                </c:pt>
                <c:pt idx="275">
                  <c:v>1.8267108167770418</c:v>
                </c:pt>
                <c:pt idx="276">
                  <c:v>1.6225165562913906</c:v>
                </c:pt>
                <c:pt idx="277">
                  <c:v>1.423841059602649</c:v>
                </c:pt>
                <c:pt idx="278">
                  <c:v>1.423841059602649</c:v>
                </c:pt>
                <c:pt idx="279">
                  <c:v>1.2196467991169979</c:v>
                </c:pt>
                <c:pt idx="280">
                  <c:v>1.2196467991169979</c:v>
                </c:pt>
                <c:pt idx="281">
                  <c:v>1.0154525386313464</c:v>
                </c:pt>
                <c:pt idx="282">
                  <c:v>1.0154525386313464</c:v>
                </c:pt>
                <c:pt idx="283">
                  <c:v>1.0154525386313464</c:v>
                </c:pt>
                <c:pt idx="284">
                  <c:v>1.0154525386313464</c:v>
                </c:pt>
                <c:pt idx="285">
                  <c:v>1.0154525386313464</c:v>
                </c:pt>
                <c:pt idx="286">
                  <c:v>1.0154525386313464</c:v>
                </c:pt>
                <c:pt idx="287">
                  <c:v>0.81125827814569529</c:v>
                </c:pt>
                <c:pt idx="288">
                  <c:v>0.81125827814569529</c:v>
                </c:pt>
                <c:pt idx="289">
                  <c:v>0.81125827814569529</c:v>
                </c:pt>
                <c:pt idx="290">
                  <c:v>0.81125827814569529</c:v>
                </c:pt>
                <c:pt idx="291">
                  <c:v>0.60706401766004414</c:v>
                </c:pt>
                <c:pt idx="292">
                  <c:v>0.60706401766004414</c:v>
                </c:pt>
                <c:pt idx="293">
                  <c:v>0.60706401766004414</c:v>
                </c:pt>
                <c:pt idx="294">
                  <c:v>0.60706401766004414</c:v>
                </c:pt>
                <c:pt idx="295">
                  <c:v>0.60706401766004414</c:v>
                </c:pt>
                <c:pt idx="296">
                  <c:v>0.60706401766004414</c:v>
                </c:pt>
                <c:pt idx="297">
                  <c:v>0.60706401766004414</c:v>
                </c:pt>
                <c:pt idx="298">
                  <c:v>0.60706401766004414</c:v>
                </c:pt>
                <c:pt idx="299">
                  <c:v>0.60706401766004414</c:v>
                </c:pt>
                <c:pt idx="300">
                  <c:v>0.4083885209713024</c:v>
                </c:pt>
                <c:pt idx="301">
                  <c:v>0.60706401766004414</c:v>
                </c:pt>
                <c:pt idx="302">
                  <c:v>0.60706401766004414</c:v>
                </c:pt>
                <c:pt idx="303">
                  <c:v>0.81125827814569529</c:v>
                </c:pt>
                <c:pt idx="304">
                  <c:v>0.81125827814569529</c:v>
                </c:pt>
                <c:pt idx="305">
                  <c:v>0.81125827814569529</c:v>
                </c:pt>
                <c:pt idx="306">
                  <c:v>0.81125827814569529</c:v>
                </c:pt>
                <c:pt idx="307">
                  <c:v>0.81125827814569529</c:v>
                </c:pt>
                <c:pt idx="308">
                  <c:v>0.81125827814569529</c:v>
                </c:pt>
                <c:pt idx="309">
                  <c:v>0.81125827814569529</c:v>
                </c:pt>
                <c:pt idx="310">
                  <c:v>0.81125827814569529</c:v>
                </c:pt>
                <c:pt idx="311">
                  <c:v>0.81125827814569529</c:v>
                </c:pt>
                <c:pt idx="312">
                  <c:v>0.81125827814569529</c:v>
                </c:pt>
                <c:pt idx="313">
                  <c:v>0.81125827814569529</c:v>
                </c:pt>
                <c:pt idx="314">
                  <c:v>0.81125827814569529</c:v>
                </c:pt>
                <c:pt idx="315">
                  <c:v>0.81125827814569529</c:v>
                </c:pt>
                <c:pt idx="316">
                  <c:v>0.81125827814569529</c:v>
                </c:pt>
                <c:pt idx="317">
                  <c:v>0.81125827814569529</c:v>
                </c:pt>
                <c:pt idx="318">
                  <c:v>0.60706401766004414</c:v>
                </c:pt>
                <c:pt idx="319">
                  <c:v>0.60706401766004414</c:v>
                </c:pt>
                <c:pt idx="320">
                  <c:v>0.60706401766004414</c:v>
                </c:pt>
                <c:pt idx="321">
                  <c:v>0.81125827814569529</c:v>
                </c:pt>
                <c:pt idx="322">
                  <c:v>0.81125827814569529</c:v>
                </c:pt>
                <c:pt idx="323">
                  <c:v>0.60706401766004414</c:v>
                </c:pt>
                <c:pt idx="324">
                  <c:v>0.60706401766004414</c:v>
                </c:pt>
                <c:pt idx="325">
                  <c:v>0.60706401766004414</c:v>
                </c:pt>
                <c:pt idx="326">
                  <c:v>0.60706401766004414</c:v>
                </c:pt>
                <c:pt idx="327">
                  <c:v>0.60706401766004414</c:v>
                </c:pt>
                <c:pt idx="328">
                  <c:v>0.4083885209713024</c:v>
                </c:pt>
                <c:pt idx="329">
                  <c:v>0.4083885209713024</c:v>
                </c:pt>
                <c:pt idx="330">
                  <c:v>0.4083885209713024</c:v>
                </c:pt>
                <c:pt idx="331">
                  <c:v>0.60706401766004414</c:v>
                </c:pt>
                <c:pt idx="332">
                  <c:v>0.60706401766004414</c:v>
                </c:pt>
                <c:pt idx="333">
                  <c:v>0.60706401766004414</c:v>
                </c:pt>
                <c:pt idx="334">
                  <c:v>0.4083885209713024</c:v>
                </c:pt>
                <c:pt idx="335">
                  <c:v>0.4083885209713024</c:v>
                </c:pt>
                <c:pt idx="336">
                  <c:v>0.4083885209713024</c:v>
                </c:pt>
                <c:pt idx="337">
                  <c:v>0.4083885209713024</c:v>
                </c:pt>
                <c:pt idx="338">
                  <c:v>0.2041942604856512</c:v>
                </c:pt>
                <c:pt idx="339">
                  <c:v>0.2041942604856512</c:v>
                </c:pt>
                <c:pt idx="340">
                  <c:v>0.4083885209713024</c:v>
                </c:pt>
                <c:pt idx="341">
                  <c:v>0.4083885209713024</c:v>
                </c:pt>
                <c:pt idx="342">
                  <c:v>0.4083885209713024</c:v>
                </c:pt>
                <c:pt idx="343">
                  <c:v>0.60706401766004414</c:v>
                </c:pt>
                <c:pt idx="344">
                  <c:v>0.60706401766004414</c:v>
                </c:pt>
                <c:pt idx="345">
                  <c:v>0.4083885209713024</c:v>
                </c:pt>
                <c:pt idx="346">
                  <c:v>0.4083885209713024</c:v>
                </c:pt>
                <c:pt idx="347">
                  <c:v>0.4083885209713024</c:v>
                </c:pt>
                <c:pt idx="348">
                  <c:v>0.4083885209713024</c:v>
                </c:pt>
                <c:pt idx="349">
                  <c:v>0.4083885209713024</c:v>
                </c:pt>
                <c:pt idx="350">
                  <c:v>0.4083885209713024</c:v>
                </c:pt>
                <c:pt idx="351">
                  <c:v>0.4083885209713024</c:v>
                </c:pt>
                <c:pt idx="352">
                  <c:v>0.4083885209713024</c:v>
                </c:pt>
                <c:pt idx="353">
                  <c:v>0.4083885209713024</c:v>
                </c:pt>
                <c:pt idx="354">
                  <c:v>0.4083885209713024</c:v>
                </c:pt>
                <c:pt idx="355">
                  <c:v>0.4083885209713024</c:v>
                </c:pt>
                <c:pt idx="356">
                  <c:v>0.4083885209713024</c:v>
                </c:pt>
                <c:pt idx="357">
                  <c:v>0.4083885209713024</c:v>
                </c:pt>
                <c:pt idx="358">
                  <c:v>0.2041942604856512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AD-4730-8CB3-6A362DEC6800}"/>
            </c:ext>
          </c:extLst>
        </c:ser>
        <c:ser>
          <c:idx val="1"/>
          <c:order val="1"/>
          <c:tx>
            <c:v>صص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7163682320293158"/>
                  <c:y val="9.37871213551138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'SMT Data Report'!$C$34:$C$69</c:f>
              <c:numCache>
                <c:formatCode>General</c:formatCode>
                <c:ptCount val="36"/>
                <c:pt idx="0">
                  <c:v>3.1124999999999998E-3</c:v>
                </c:pt>
                <c:pt idx="1">
                  <c:v>3.5062499999999998E-3</c:v>
                </c:pt>
                <c:pt idx="2">
                  <c:v>3.9125000000000002E-3</c:v>
                </c:pt>
                <c:pt idx="3">
                  <c:v>4.3062500000000002E-3</c:v>
                </c:pt>
                <c:pt idx="4">
                  <c:v>4.7468750000000002E-3</c:v>
                </c:pt>
                <c:pt idx="5">
                  <c:v>5.1406250000000002E-3</c:v>
                </c:pt>
                <c:pt idx="6">
                  <c:v>5.5343750000000002E-3</c:v>
                </c:pt>
                <c:pt idx="7">
                  <c:v>5.9312499999999999E-3</c:v>
                </c:pt>
                <c:pt idx="8">
                  <c:v>6.3156250000000001E-3</c:v>
                </c:pt>
                <c:pt idx="9">
                  <c:v>6.7781250000000003E-3</c:v>
                </c:pt>
                <c:pt idx="10">
                  <c:v>7.1624999999999996E-3</c:v>
                </c:pt>
                <c:pt idx="11">
                  <c:v>7.5656250000000003E-3</c:v>
                </c:pt>
                <c:pt idx="12">
                  <c:v>7.9656250000000005E-3</c:v>
                </c:pt>
                <c:pt idx="13">
                  <c:v>8.4124999999999998E-3</c:v>
                </c:pt>
                <c:pt idx="14">
                  <c:v>8.7124999999999998E-3</c:v>
                </c:pt>
                <c:pt idx="15">
                  <c:v>9.1968750000000002E-3</c:v>
                </c:pt>
                <c:pt idx="16">
                  <c:v>9.5968749999999995E-3</c:v>
                </c:pt>
                <c:pt idx="17">
                  <c:v>9.9874999999999999E-3</c:v>
                </c:pt>
                <c:pt idx="18">
                  <c:v>1.0434374999999999E-2</c:v>
                </c:pt>
                <c:pt idx="19">
                  <c:v>1.08375E-2</c:v>
                </c:pt>
                <c:pt idx="20">
                  <c:v>1.123125E-2</c:v>
                </c:pt>
                <c:pt idx="21">
                  <c:v>1.1631249999999999E-2</c:v>
                </c:pt>
                <c:pt idx="22">
                  <c:v>1.201875E-2</c:v>
                </c:pt>
                <c:pt idx="23">
                  <c:v>1.2465624999999999E-2</c:v>
                </c:pt>
                <c:pt idx="24">
                  <c:v>1.2865625E-2</c:v>
                </c:pt>
                <c:pt idx="25">
                  <c:v>1.3259375E-2</c:v>
                </c:pt>
                <c:pt idx="26">
                  <c:v>1.3653125E-2</c:v>
                </c:pt>
                <c:pt idx="27">
                  <c:v>1.4106250000000001E-2</c:v>
                </c:pt>
                <c:pt idx="28">
                  <c:v>1.4503125E-2</c:v>
                </c:pt>
                <c:pt idx="29">
                  <c:v>1.4896875E-2</c:v>
                </c:pt>
                <c:pt idx="30">
                  <c:v>1.5299999999999999E-2</c:v>
                </c:pt>
                <c:pt idx="31">
                  <c:v>1.5684375E-2</c:v>
                </c:pt>
                <c:pt idx="32">
                  <c:v>1.6137499999999999E-2</c:v>
                </c:pt>
                <c:pt idx="33">
                  <c:v>1.6528125000000001E-2</c:v>
                </c:pt>
                <c:pt idx="34">
                  <c:v>1.6931249999999998E-2</c:v>
                </c:pt>
                <c:pt idx="35">
                  <c:v>1.7321875E-2</c:v>
                </c:pt>
              </c:numCache>
            </c:numRef>
          </c:xVal>
          <c:yVal>
            <c:numRef>
              <c:f>'SMT Data Report'!$G$34:$G$69</c:f>
              <c:numCache>
                <c:formatCode>General</c:formatCode>
                <c:ptCount val="36"/>
                <c:pt idx="0">
                  <c:v>-37.315563749999995</c:v>
                </c:pt>
                <c:pt idx="1">
                  <c:v>-32.977926562500002</c:v>
                </c:pt>
                <c:pt idx="2">
                  <c:v>-24.95626875</c:v>
                </c:pt>
                <c:pt idx="3">
                  <c:v>-17.291129062500001</c:v>
                </c:pt>
                <c:pt idx="4">
                  <c:v>-9.7448287499999982</c:v>
                </c:pt>
                <c:pt idx="5">
                  <c:v>-2.1391087499999992</c:v>
                </c:pt>
                <c:pt idx="6">
                  <c:v>5.050673437499996</c:v>
                </c:pt>
                <c:pt idx="7">
                  <c:v>13.547688750000001</c:v>
                </c:pt>
                <c:pt idx="8">
                  <c:v>21.153408749999993</c:v>
                </c:pt>
                <c:pt idx="9">
                  <c:v>28.640289374999995</c:v>
                </c:pt>
                <c:pt idx="10">
                  <c:v>36.36484875</c:v>
                </c:pt>
                <c:pt idx="11">
                  <c:v>43.851729374999998</c:v>
                </c:pt>
                <c:pt idx="12">
                  <c:v>52.229905312500001</c:v>
                </c:pt>
                <c:pt idx="13">
                  <c:v>59.716785937499999</c:v>
                </c:pt>
                <c:pt idx="14">
                  <c:v>67.203666562500004</c:v>
                </c:pt>
                <c:pt idx="15">
                  <c:v>74.749966874999998</c:v>
                </c:pt>
                <c:pt idx="16">
                  <c:v>82.058588437499992</c:v>
                </c:pt>
                <c:pt idx="17">
                  <c:v>90.8527021875</c:v>
                </c:pt>
                <c:pt idx="18">
                  <c:v>98.161323749999994</c:v>
                </c:pt>
                <c:pt idx="19">
                  <c:v>105.8264634375</c:v>
                </c:pt>
                <c:pt idx="20">
                  <c:v>113.4321834375</c:v>
                </c:pt>
                <c:pt idx="21">
                  <c:v>121.92919875</c:v>
                </c:pt>
                <c:pt idx="22">
                  <c:v>127.63348874999998</c:v>
                </c:pt>
                <c:pt idx="23">
                  <c:v>136.84354031250001</c:v>
                </c:pt>
                <c:pt idx="24">
                  <c:v>144.44926031249997</c:v>
                </c:pt>
                <c:pt idx="25">
                  <c:v>151.87672125</c:v>
                </c:pt>
                <c:pt idx="26">
                  <c:v>160.37373656249997</c:v>
                </c:pt>
                <c:pt idx="27">
                  <c:v>168.03887624999999</c:v>
                </c:pt>
                <c:pt idx="28">
                  <c:v>175.52575687499998</c:v>
                </c:pt>
                <c:pt idx="29">
                  <c:v>183.13147687499998</c:v>
                </c:pt>
                <c:pt idx="30">
                  <c:v>190.49951812499998</c:v>
                </c:pt>
                <c:pt idx="31">
                  <c:v>198.99653343749998</c:v>
                </c:pt>
                <c:pt idx="32">
                  <c:v>206.6022534375</c:v>
                </c:pt>
                <c:pt idx="33">
                  <c:v>214.08913406249999</c:v>
                </c:pt>
                <c:pt idx="34">
                  <c:v>221.57601468749999</c:v>
                </c:pt>
                <c:pt idx="35">
                  <c:v>230.19186937500001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AD-4730-8CB3-6A362DEC6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111232"/>
        <c:axId val="2125116640"/>
      </c:scatterChart>
      <c:valAx>
        <c:axId val="212511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116640"/>
        <c:crosses val="autoZero"/>
        <c:crossBetween val="midCat"/>
      </c:valAx>
      <c:valAx>
        <c:axId val="21251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111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222251</xdr:colOff>
      <xdr:row>4</xdr:row>
      <xdr:rowOff>24494</xdr:rowOff>
    </xdr:from>
    <xdr:to>
      <xdr:col>28</xdr:col>
      <xdr:colOff>498929</xdr:colOff>
      <xdr:row>24</xdr:row>
      <xdr:rowOff>78922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152399</xdr:colOff>
      <xdr:row>30</xdr:row>
      <xdr:rowOff>76199</xdr:rowOff>
    </xdr:from>
    <xdr:to>
      <xdr:col>22</xdr:col>
      <xdr:colOff>141514</xdr:colOff>
      <xdr:row>49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3"/>
  <sheetViews>
    <sheetView tabSelected="1" topLeftCell="B33" zoomScale="90" zoomScaleNormal="70" workbookViewId="0">
      <selection activeCell="Q54" sqref="Q54"/>
    </sheetView>
  </sheetViews>
  <sheetFormatPr defaultRowHeight="14.4" x14ac:dyDescent="0.3"/>
  <cols>
    <col min="1" max="1" width="20.77734375" customWidth="1"/>
    <col min="2" max="2" width="16.77734375" customWidth="1"/>
    <col min="3" max="3" width="12.77734375" customWidth="1"/>
    <col min="4" max="4" width="8.77734375" customWidth="1"/>
    <col min="5" max="5" width="12.109375" bestFit="1" customWidth="1"/>
    <col min="6" max="6" width="9" bestFit="1" customWidth="1"/>
  </cols>
  <sheetData>
    <row r="1" spans="1:20" ht="20.100000000000001" customHeight="1" x14ac:dyDescent="0.4">
      <c r="A1" s="8" t="s">
        <v>0</v>
      </c>
      <c r="B1" s="9"/>
      <c r="C1" s="7"/>
      <c r="D1" s="7"/>
      <c r="E1" s="7"/>
      <c r="F1" s="7"/>
      <c r="G1" s="7"/>
      <c r="H1" s="7"/>
      <c r="I1" s="7"/>
      <c r="J1" s="7"/>
    </row>
    <row r="2" spans="1:20" x14ac:dyDescent="0.3">
      <c r="A2" s="3" t="s">
        <v>1</v>
      </c>
      <c r="B2" s="9" t="s">
        <v>2</v>
      </c>
      <c r="C2" s="7"/>
      <c r="D2" s="7"/>
      <c r="E2" s="7"/>
      <c r="F2" s="7"/>
      <c r="G2" s="7"/>
      <c r="H2" s="7"/>
      <c r="I2" s="7"/>
      <c r="J2" s="7"/>
    </row>
    <row r="3" spans="1:20" x14ac:dyDescent="0.3">
      <c r="A3" s="10"/>
      <c r="B3" s="9"/>
      <c r="C3" s="7"/>
      <c r="D3" s="7"/>
      <c r="E3" s="7"/>
      <c r="F3" s="7"/>
      <c r="G3" s="7"/>
      <c r="H3" s="7"/>
      <c r="I3" s="7"/>
      <c r="J3" s="7"/>
    </row>
    <row r="4" spans="1:20" x14ac:dyDescent="0.3">
      <c r="A4" s="3" t="s">
        <v>3</v>
      </c>
      <c r="B4" s="1" t="s">
        <v>4</v>
      </c>
      <c r="M4" s="7"/>
      <c r="N4" s="7"/>
      <c r="O4" s="7"/>
      <c r="P4" s="7"/>
      <c r="Q4" s="7"/>
      <c r="R4" s="7"/>
      <c r="S4" s="7"/>
      <c r="T4" s="7"/>
    </row>
    <row r="5" spans="1:20" x14ac:dyDescent="0.3">
      <c r="A5" s="3" t="s">
        <v>5</v>
      </c>
      <c r="B5" s="1">
        <v>3</v>
      </c>
      <c r="M5" s="7"/>
      <c r="N5" s="7"/>
      <c r="O5" s="7"/>
      <c r="P5" s="7"/>
      <c r="Q5" s="7"/>
      <c r="R5" s="7"/>
      <c r="S5" s="7"/>
      <c r="T5" s="7"/>
    </row>
    <row r="6" spans="1:20" x14ac:dyDescent="0.3">
      <c r="A6" s="3" t="s">
        <v>6</v>
      </c>
      <c r="B6" s="1">
        <v>6.04</v>
      </c>
      <c r="M6" s="7"/>
      <c r="N6" s="7"/>
      <c r="O6" s="7"/>
      <c r="P6" s="7"/>
      <c r="Q6" s="7"/>
      <c r="R6" s="7"/>
      <c r="S6" s="7"/>
      <c r="T6" s="7"/>
    </row>
    <row r="7" spans="1:20" x14ac:dyDescent="0.3">
      <c r="A7" s="3" t="s">
        <v>7</v>
      </c>
      <c r="B7" s="1">
        <v>32</v>
      </c>
      <c r="M7" s="7"/>
      <c r="N7" s="7"/>
      <c r="O7" s="7"/>
      <c r="P7" s="7"/>
      <c r="Q7" s="7"/>
      <c r="R7" s="7"/>
      <c r="S7" s="7"/>
      <c r="T7" s="7"/>
    </row>
    <row r="8" spans="1:20" x14ac:dyDescent="0.3">
      <c r="A8" s="10"/>
      <c r="B8" s="9"/>
      <c r="M8" s="7"/>
      <c r="N8" s="7"/>
      <c r="O8" s="7"/>
      <c r="P8" s="7"/>
      <c r="Q8" s="7"/>
      <c r="R8" s="7"/>
      <c r="S8" s="7"/>
      <c r="T8" s="7"/>
    </row>
    <row r="9" spans="1:20" x14ac:dyDescent="0.3">
      <c r="A9" s="3" t="s">
        <v>8</v>
      </c>
      <c r="B9" s="1"/>
      <c r="M9" s="7"/>
      <c r="N9" s="7"/>
      <c r="O9" s="7"/>
      <c r="P9" s="7"/>
      <c r="Q9" s="7"/>
      <c r="R9" s="7"/>
      <c r="S9" s="7"/>
      <c r="T9" s="7"/>
    </row>
    <row r="10" spans="1:20" x14ac:dyDescent="0.3">
      <c r="A10" s="3" t="s">
        <v>9</v>
      </c>
      <c r="B10" s="4">
        <v>45579</v>
      </c>
      <c r="M10" s="7"/>
      <c r="N10" s="7"/>
      <c r="O10" s="7"/>
      <c r="P10" s="7"/>
      <c r="Q10" s="7"/>
      <c r="R10" s="7"/>
      <c r="S10" s="7"/>
      <c r="T10" s="7"/>
    </row>
    <row r="11" spans="1:20" x14ac:dyDescent="0.3">
      <c r="A11" s="3" t="s">
        <v>10</v>
      </c>
      <c r="B11" s="1" t="s">
        <v>11</v>
      </c>
      <c r="M11" s="7"/>
      <c r="N11" s="7"/>
      <c r="O11" s="7"/>
      <c r="P11" s="7"/>
      <c r="Q11" s="7"/>
      <c r="R11" s="7"/>
      <c r="S11" s="7"/>
      <c r="T11" s="7"/>
    </row>
    <row r="12" spans="1:20" x14ac:dyDescent="0.3">
      <c r="A12" s="10"/>
      <c r="B12" s="9"/>
      <c r="M12" s="7"/>
      <c r="N12" s="7"/>
      <c r="O12" s="7"/>
      <c r="P12" s="7"/>
      <c r="Q12" s="7"/>
      <c r="R12" s="7"/>
      <c r="S12" s="7"/>
      <c r="T12" s="7"/>
    </row>
    <row r="13" spans="1:20" x14ac:dyDescent="0.3">
      <c r="A13" s="3" t="s">
        <v>12</v>
      </c>
      <c r="B13" s="1">
        <v>10</v>
      </c>
      <c r="M13" s="7"/>
      <c r="N13" s="7"/>
      <c r="O13" s="7"/>
      <c r="P13" s="7"/>
      <c r="Q13" s="7"/>
      <c r="R13" s="7"/>
      <c r="S13" s="7"/>
      <c r="T13" s="7"/>
    </row>
    <row r="14" spans="1:20" x14ac:dyDescent="0.3">
      <c r="A14" s="3" t="s">
        <v>13</v>
      </c>
      <c r="B14" s="1"/>
      <c r="M14" s="7"/>
      <c r="N14" s="7"/>
      <c r="O14" s="7"/>
      <c r="P14" s="7"/>
      <c r="Q14" s="7"/>
      <c r="R14" s="7"/>
      <c r="S14" s="7"/>
      <c r="T14" s="7"/>
    </row>
    <row r="15" spans="1:20" x14ac:dyDescent="0.3">
      <c r="A15" s="10"/>
      <c r="B15" s="9"/>
      <c r="M15" s="7"/>
      <c r="N15" s="7"/>
      <c r="O15" s="7"/>
      <c r="P15" s="7"/>
      <c r="Q15" s="7"/>
      <c r="R15" s="7"/>
      <c r="S15" s="7"/>
      <c r="T15" s="7"/>
    </row>
    <row r="16" spans="1:20" x14ac:dyDescent="0.3">
      <c r="A16" s="3" t="s">
        <v>14</v>
      </c>
      <c r="B16" s="1"/>
      <c r="M16" s="7"/>
      <c r="N16" s="7"/>
      <c r="O16" s="7"/>
      <c r="P16" s="7"/>
      <c r="Q16" s="7"/>
      <c r="R16" s="7"/>
      <c r="S16" s="7"/>
      <c r="T16" s="7"/>
    </row>
    <row r="17" spans="1:20" x14ac:dyDescent="0.3">
      <c r="A17" s="3" t="s">
        <v>15</v>
      </c>
      <c r="B17" s="1"/>
      <c r="M17" s="7"/>
      <c r="N17" s="7"/>
      <c r="O17" s="7"/>
      <c r="P17" s="7"/>
      <c r="Q17" s="7"/>
      <c r="R17" s="7"/>
      <c r="S17" s="7"/>
      <c r="T17" s="7"/>
    </row>
    <row r="18" spans="1:20" x14ac:dyDescent="0.3">
      <c r="A18" s="10"/>
      <c r="B18" s="9"/>
      <c r="M18" s="7"/>
      <c r="N18" s="7"/>
      <c r="O18" s="7"/>
      <c r="P18" s="7"/>
      <c r="Q18" s="7"/>
      <c r="R18" s="7"/>
      <c r="S18" s="7"/>
      <c r="T18" s="7"/>
    </row>
    <row r="19" spans="1:20" x14ac:dyDescent="0.3">
      <c r="A19" s="3" t="s">
        <v>16</v>
      </c>
      <c r="B19" s="1">
        <v>4.1900000000000004</v>
      </c>
      <c r="M19" s="7"/>
      <c r="N19" s="7"/>
      <c r="O19" s="7"/>
      <c r="P19" s="7"/>
      <c r="Q19" s="7"/>
      <c r="R19" s="7"/>
      <c r="S19" s="7"/>
      <c r="T19" s="7"/>
    </row>
    <row r="20" spans="1:20" x14ac:dyDescent="0.3">
      <c r="A20" s="3" t="s">
        <v>17</v>
      </c>
      <c r="B20" s="1">
        <v>359</v>
      </c>
      <c r="M20" s="7"/>
      <c r="N20" s="7"/>
      <c r="O20" s="7"/>
      <c r="P20" s="7"/>
      <c r="Q20" s="7"/>
      <c r="R20" s="7"/>
      <c r="S20" s="7"/>
      <c r="T20" s="7"/>
    </row>
    <row r="21" spans="1:20" x14ac:dyDescent="0.3">
      <c r="A21" s="3" t="s">
        <v>18</v>
      </c>
      <c r="B21" s="1"/>
      <c r="M21" s="7"/>
      <c r="N21" s="7"/>
      <c r="O21" s="7"/>
      <c r="P21" s="7"/>
      <c r="Q21" s="7"/>
      <c r="R21" s="7"/>
      <c r="S21" s="7"/>
      <c r="T21" s="7"/>
    </row>
    <row r="22" spans="1:20" x14ac:dyDescent="0.3">
      <c r="A22" s="10"/>
      <c r="B22" s="9"/>
      <c r="F22">
        <f>D23*(1+C24)</f>
        <v>0</v>
      </c>
      <c r="M22" s="7"/>
      <c r="N22" s="7"/>
      <c r="O22" s="7"/>
      <c r="P22" s="7"/>
      <c r="Q22" s="7"/>
      <c r="R22" s="7"/>
      <c r="S22" s="7"/>
      <c r="T22" s="7"/>
    </row>
    <row r="23" spans="1:20" x14ac:dyDescent="0.3">
      <c r="A23" s="3" t="s">
        <v>19</v>
      </c>
      <c r="B23" s="3" t="s">
        <v>20</v>
      </c>
      <c r="M23" s="7"/>
      <c r="N23" s="7"/>
      <c r="O23" s="7"/>
      <c r="P23" s="7"/>
      <c r="Q23" s="7"/>
      <c r="R23" s="7"/>
      <c r="S23" s="7"/>
      <c r="T23" s="7"/>
    </row>
    <row r="24" spans="1:20" x14ac:dyDescent="0.3">
      <c r="A24" s="5">
        <v>0</v>
      </c>
      <c r="B24" s="5">
        <v>99.3</v>
      </c>
      <c r="C24">
        <f>A24/32</f>
        <v>0</v>
      </c>
      <c r="D24">
        <f>B24/(3*6.04)</f>
        <v>5.4801324503311255</v>
      </c>
      <c r="E24">
        <f>LN(1+C24)</f>
        <v>0</v>
      </c>
      <c r="F24">
        <f>D24*(1+C24)</f>
        <v>5.4801324503311255</v>
      </c>
      <c r="M24" s="7"/>
      <c r="N24" s="7"/>
      <c r="O24" s="7"/>
      <c r="P24" s="7"/>
      <c r="Q24" s="7"/>
      <c r="R24" s="7"/>
      <c r="S24" s="7"/>
      <c r="T24" s="7"/>
    </row>
    <row r="25" spans="1:20" x14ac:dyDescent="0.3">
      <c r="A25" s="5">
        <v>0</v>
      </c>
      <c r="B25" s="5">
        <v>99.3</v>
      </c>
      <c r="C25">
        <f t="shared" ref="C25:C88" si="0">A25/32</f>
        <v>0</v>
      </c>
      <c r="D25">
        <f t="shared" ref="D25:D88" si="1">B25/(3*6.04)</f>
        <v>5.4801324503311255</v>
      </c>
      <c r="E25">
        <f t="shared" ref="E25:E88" si="2">LN(1+C25)</f>
        <v>0</v>
      </c>
      <c r="F25">
        <f>D25*(1+C25)</f>
        <v>5.4801324503311255</v>
      </c>
      <c r="M25" s="7"/>
      <c r="N25" s="7"/>
      <c r="O25" s="7"/>
      <c r="P25" s="7"/>
      <c r="Q25" s="7"/>
      <c r="R25" s="7"/>
      <c r="S25" s="7"/>
      <c r="T25" s="7"/>
    </row>
    <row r="26" spans="1:20" x14ac:dyDescent="0.3">
      <c r="A26" s="5">
        <v>1.1999999999999999E-3</v>
      </c>
      <c r="B26" s="5">
        <v>99.3</v>
      </c>
      <c r="C26">
        <f t="shared" si="0"/>
        <v>3.7499999999999997E-5</v>
      </c>
      <c r="D26">
        <f t="shared" si="1"/>
        <v>5.4801324503311255</v>
      </c>
      <c r="E26">
        <f t="shared" si="2"/>
        <v>3.7499296892490235E-5</v>
      </c>
      <c r="F26">
        <f t="shared" ref="F26:F88" si="3">D26*(1+C26)</f>
        <v>5.4803379552980127</v>
      </c>
      <c r="M26" s="7"/>
      <c r="N26" s="7"/>
      <c r="O26" s="7"/>
      <c r="P26" s="7"/>
      <c r="Q26" s="7"/>
      <c r="R26" s="7"/>
      <c r="S26" s="7"/>
      <c r="T26" s="7"/>
    </row>
    <row r="27" spans="1:20" x14ac:dyDescent="0.3">
      <c r="A27" s="5">
        <v>8.5000000000000006E-3</v>
      </c>
      <c r="B27" s="5">
        <v>99.3</v>
      </c>
      <c r="C27">
        <f t="shared" si="0"/>
        <v>2.6562500000000002E-4</v>
      </c>
      <c r="D27">
        <f t="shared" si="1"/>
        <v>5.4801324503311255</v>
      </c>
      <c r="E27">
        <f t="shared" si="2"/>
        <v>2.6558972792558184E-4</v>
      </c>
      <c r="F27">
        <f t="shared" si="3"/>
        <v>5.4815881105132442</v>
      </c>
      <c r="M27" s="7"/>
      <c r="N27" s="7"/>
      <c r="O27" s="7"/>
      <c r="P27" s="7"/>
      <c r="Q27" s="7"/>
      <c r="R27" s="7"/>
      <c r="S27" s="7"/>
      <c r="T27" s="7"/>
    </row>
    <row r="28" spans="1:20" x14ac:dyDescent="0.3">
      <c r="A28" s="5">
        <v>2.1999999999999999E-2</v>
      </c>
      <c r="B28" s="5">
        <v>99.3</v>
      </c>
      <c r="C28">
        <f t="shared" si="0"/>
        <v>6.8749999999999996E-4</v>
      </c>
      <c r="D28">
        <f t="shared" si="1"/>
        <v>5.4801324503311255</v>
      </c>
      <c r="E28">
        <f t="shared" si="2"/>
        <v>6.8726378013618907E-4</v>
      </c>
      <c r="F28">
        <f t="shared" si="3"/>
        <v>5.4839000413907275</v>
      </c>
      <c r="G28" s="2"/>
      <c r="H28" s="2"/>
      <c r="I28" s="2"/>
      <c r="J28" s="2"/>
    </row>
    <row r="29" spans="1:20" x14ac:dyDescent="0.3">
      <c r="A29" s="5">
        <v>3.49E-2</v>
      </c>
      <c r="B29" s="5">
        <v>106.7</v>
      </c>
      <c r="C29">
        <f t="shared" si="0"/>
        <v>1.090625E-3</v>
      </c>
      <c r="D29">
        <f t="shared" si="1"/>
        <v>5.8885209713024285</v>
      </c>
      <c r="E29">
        <f t="shared" si="2"/>
        <v>1.0900307006206237E-3</v>
      </c>
      <c r="F29">
        <f t="shared" si="3"/>
        <v>5.8949431394867551</v>
      </c>
      <c r="G29" s="2"/>
      <c r="H29" s="2"/>
      <c r="I29" s="2"/>
      <c r="J29" s="2"/>
    </row>
    <row r="30" spans="1:20" x14ac:dyDescent="0.3">
      <c r="A30" s="5">
        <v>4.7600000000000003E-2</v>
      </c>
      <c r="B30" s="5">
        <v>147.19999999999999</v>
      </c>
      <c r="C30">
        <f t="shared" si="0"/>
        <v>1.4875000000000001E-3</v>
      </c>
      <c r="D30">
        <f t="shared" si="1"/>
        <v>8.1236203090507715</v>
      </c>
      <c r="E30">
        <f t="shared" si="2"/>
        <v>1.4863947677613025E-3</v>
      </c>
      <c r="F30">
        <f t="shared" si="3"/>
        <v>8.1357041942604855</v>
      </c>
      <c r="G30" s="2"/>
      <c r="H30" s="2"/>
      <c r="I30" s="2"/>
      <c r="J30" s="2"/>
    </row>
    <row r="31" spans="1:20" x14ac:dyDescent="0.3">
      <c r="A31" s="5">
        <v>6.0400000000000002E-2</v>
      </c>
      <c r="B31" s="5">
        <v>235.4</v>
      </c>
      <c r="C31">
        <f t="shared" si="0"/>
        <v>1.8875000000000001E-3</v>
      </c>
      <c r="D31">
        <f t="shared" si="1"/>
        <v>12.991169977924944</v>
      </c>
      <c r="E31">
        <f t="shared" si="2"/>
        <v>1.8857209102112532E-3</v>
      </c>
      <c r="F31">
        <f t="shared" si="3"/>
        <v>13.015690811258278</v>
      </c>
      <c r="G31" s="2"/>
      <c r="H31" s="2"/>
      <c r="I31" s="2"/>
      <c r="J31" s="2"/>
    </row>
    <row r="32" spans="1:20" x14ac:dyDescent="0.3">
      <c r="A32" s="5">
        <v>7.2499999999999995E-2</v>
      </c>
      <c r="B32" s="5">
        <v>382.6</v>
      </c>
      <c r="C32">
        <f t="shared" si="0"/>
        <v>2.2656249999999998E-3</v>
      </c>
      <c r="D32">
        <f t="shared" si="1"/>
        <v>21.114790286975719</v>
      </c>
      <c r="E32">
        <f t="shared" si="2"/>
        <v>2.263062341631625E-3</v>
      </c>
      <c r="F32">
        <f t="shared" si="3"/>
        <v>21.162628483719647</v>
      </c>
      <c r="G32" s="2"/>
      <c r="H32" s="2"/>
      <c r="I32" s="2"/>
      <c r="J32" s="2"/>
    </row>
    <row r="33" spans="1:10" x14ac:dyDescent="0.3">
      <c r="A33" s="5">
        <v>8.6800000000000002E-2</v>
      </c>
      <c r="B33" s="5">
        <v>581.20000000000005</v>
      </c>
      <c r="C33">
        <f t="shared" si="0"/>
        <v>2.7125000000000001E-3</v>
      </c>
      <c r="D33">
        <f t="shared" si="1"/>
        <v>32.075055187637972</v>
      </c>
      <c r="E33">
        <f t="shared" si="2"/>
        <v>2.7088278109179474E-3</v>
      </c>
      <c r="F33">
        <f t="shared" si="3"/>
        <v>32.162058774834435</v>
      </c>
      <c r="G33" s="2"/>
      <c r="H33" s="2"/>
      <c r="I33" s="2"/>
      <c r="J33" s="2"/>
    </row>
    <row r="34" spans="1:10" x14ac:dyDescent="0.3">
      <c r="A34" s="5">
        <v>9.9599999999999994E-2</v>
      </c>
      <c r="B34" s="5">
        <v>761.5</v>
      </c>
      <c r="C34">
        <f t="shared" si="0"/>
        <v>3.1124999999999998E-3</v>
      </c>
      <c r="D34">
        <f t="shared" si="1"/>
        <v>42.025386313465781</v>
      </c>
      <c r="E34">
        <f t="shared" si="2"/>
        <v>3.1076661994140328E-3</v>
      </c>
      <c r="F34">
        <f t="shared" si="3"/>
        <v>42.156190328366449</v>
      </c>
      <c r="G34" s="2">
        <f>19014.3*(C26-0.002)</f>
        <v>-37.315563749999995</v>
      </c>
      <c r="H34" s="2"/>
      <c r="I34" s="2"/>
      <c r="J34" s="2"/>
    </row>
    <row r="35" spans="1:10" x14ac:dyDescent="0.3">
      <c r="A35" s="5">
        <v>0.11219999999999999</v>
      </c>
      <c r="B35" s="5">
        <v>934.4</v>
      </c>
      <c r="C35">
        <f t="shared" si="0"/>
        <v>3.5062499999999998E-3</v>
      </c>
      <c r="D35">
        <f t="shared" si="1"/>
        <v>51.567328918322289</v>
      </c>
      <c r="E35">
        <f t="shared" si="2"/>
        <v>3.5001174361561247E-3</v>
      </c>
      <c r="F35">
        <f t="shared" si="3"/>
        <v>51.748136865342161</v>
      </c>
      <c r="G35" s="6">
        <f t="shared" ref="G35:G69" si="4">19014.3*(C27-0.002)</f>
        <v>-32.977926562500002</v>
      </c>
      <c r="H35" s="2"/>
      <c r="I35" s="2"/>
      <c r="J35" s="2"/>
    </row>
    <row r="36" spans="1:10" x14ac:dyDescent="0.3">
      <c r="A36" s="5">
        <v>0.12520000000000001</v>
      </c>
      <c r="B36" s="5">
        <v>1092.5999999999999</v>
      </c>
      <c r="C36">
        <f t="shared" si="0"/>
        <v>3.9125000000000002E-3</v>
      </c>
      <c r="D36">
        <f t="shared" si="1"/>
        <v>60.298013245033104</v>
      </c>
      <c r="E36">
        <f t="shared" si="2"/>
        <v>3.9048660772116896E-3</v>
      </c>
      <c r="F36">
        <f t="shared" si="3"/>
        <v>60.533929221854294</v>
      </c>
      <c r="G36" s="6">
        <f t="shared" si="4"/>
        <v>-24.95626875</v>
      </c>
      <c r="H36" s="2"/>
      <c r="I36" s="2"/>
      <c r="J36" s="2"/>
    </row>
    <row r="37" spans="1:10" x14ac:dyDescent="0.3">
      <c r="A37" s="5">
        <v>0.13780000000000001</v>
      </c>
      <c r="B37" s="5">
        <v>1243.4000000000001</v>
      </c>
      <c r="C37">
        <f t="shared" si="0"/>
        <v>4.3062500000000002E-3</v>
      </c>
      <c r="D37">
        <f t="shared" si="1"/>
        <v>68.620309050772633</v>
      </c>
      <c r="E37">
        <f t="shared" si="2"/>
        <v>4.2970046378596628E-3</v>
      </c>
      <c r="F37">
        <f t="shared" si="3"/>
        <v>68.915805256622519</v>
      </c>
      <c r="G37" s="6">
        <f t="shared" si="4"/>
        <v>-17.291129062500001</v>
      </c>
      <c r="H37" s="2"/>
      <c r="I37" s="2"/>
      <c r="J37" s="2"/>
    </row>
    <row r="38" spans="1:10" x14ac:dyDescent="0.3">
      <c r="A38" s="5">
        <v>0.15190000000000001</v>
      </c>
      <c r="B38" s="5">
        <v>1401.6</v>
      </c>
      <c r="C38">
        <f t="shared" si="0"/>
        <v>4.7468750000000002E-3</v>
      </c>
      <c r="D38">
        <f t="shared" si="1"/>
        <v>77.350993377483434</v>
      </c>
      <c r="E38">
        <f t="shared" si="2"/>
        <v>4.7356441159121191E-3</v>
      </c>
      <c r="F38">
        <f t="shared" si="3"/>
        <v>77.718168874172164</v>
      </c>
      <c r="G38" s="6">
        <f t="shared" si="4"/>
        <v>-9.7448287499999982</v>
      </c>
      <c r="H38" s="2"/>
      <c r="I38" s="2"/>
      <c r="J38" s="2"/>
    </row>
    <row r="39" spans="1:10" x14ac:dyDescent="0.3">
      <c r="A39" s="5">
        <v>0.16450000000000001</v>
      </c>
      <c r="B39" s="5">
        <v>1530.4</v>
      </c>
      <c r="C39">
        <f t="shared" si="0"/>
        <v>5.1406250000000002E-3</v>
      </c>
      <c r="D39">
        <f t="shared" si="1"/>
        <v>84.459161147902876</v>
      </c>
      <c r="E39">
        <f t="shared" si="2"/>
        <v>5.1274570955313868E-3</v>
      </c>
      <c r="F39">
        <f t="shared" si="3"/>
        <v>84.893334023178809</v>
      </c>
      <c r="G39" s="6">
        <f t="shared" si="4"/>
        <v>-2.1391087499999992</v>
      </c>
      <c r="H39" s="2"/>
      <c r="I39" s="2"/>
      <c r="J39" s="2"/>
    </row>
    <row r="40" spans="1:10" x14ac:dyDescent="0.3">
      <c r="A40" s="5">
        <v>0.17710000000000001</v>
      </c>
      <c r="B40" s="5">
        <v>1651.8</v>
      </c>
      <c r="C40">
        <f t="shared" si="0"/>
        <v>5.5343750000000002E-3</v>
      </c>
      <c r="D40">
        <f t="shared" si="1"/>
        <v>91.158940397350989</v>
      </c>
      <c r="E40">
        <f t="shared" si="2"/>
        <v>5.5191166178644715E-3</v>
      </c>
      <c r="F40">
        <f t="shared" si="3"/>
        <v>91.663448158112587</v>
      </c>
      <c r="G40" s="6">
        <f t="shared" si="4"/>
        <v>5.050673437499996</v>
      </c>
      <c r="H40" s="2"/>
      <c r="I40" s="2"/>
      <c r="J40" s="2"/>
    </row>
    <row r="41" spans="1:10" x14ac:dyDescent="0.3">
      <c r="A41" s="5">
        <v>0.1898</v>
      </c>
      <c r="B41" s="5">
        <v>1765.8</v>
      </c>
      <c r="C41">
        <f t="shared" si="0"/>
        <v>5.9312499999999999E-3</v>
      </c>
      <c r="D41">
        <f t="shared" si="1"/>
        <v>97.450331125827802</v>
      </c>
      <c r="E41">
        <f t="shared" si="2"/>
        <v>5.9137293820273606E-3</v>
      </c>
      <c r="F41">
        <f t="shared" si="3"/>
        <v>98.028333402317855</v>
      </c>
      <c r="G41" s="6">
        <f t="shared" si="4"/>
        <v>13.547688750000001</v>
      </c>
      <c r="H41" s="2"/>
      <c r="I41" s="2"/>
      <c r="J41" s="2"/>
    </row>
    <row r="42" spans="1:10" x14ac:dyDescent="0.3">
      <c r="A42" s="5">
        <v>0.2021</v>
      </c>
      <c r="B42" s="5">
        <v>1865.1</v>
      </c>
      <c r="C42">
        <f t="shared" si="0"/>
        <v>6.3156250000000001E-3</v>
      </c>
      <c r="D42">
        <f t="shared" si="1"/>
        <v>102.93046357615893</v>
      </c>
      <c r="E42">
        <f t="shared" si="2"/>
        <v>6.2957650153788632E-3</v>
      </c>
      <c r="F42">
        <f t="shared" si="3"/>
        <v>103.58053378518211</v>
      </c>
      <c r="G42" s="6">
        <f t="shared" si="4"/>
        <v>21.153408749999993</v>
      </c>
      <c r="H42" s="2"/>
      <c r="I42" s="2"/>
      <c r="J42" s="2"/>
    </row>
    <row r="43" spans="1:10" x14ac:dyDescent="0.3">
      <c r="A43" s="5">
        <v>0.21690000000000001</v>
      </c>
      <c r="B43" s="5">
        <v>1968.1</v>
      </c>
      <c r="C43">
        <f t="shared" si="0"/>
        <v>6.7781250000000003E-3</v>
      </c>
      <c r="D43">
        <f t="shared" si="1"/>
        <v>108.6147902869757</v>
      </c>
      <c r="E43">
        <f t="shared" si="2"/>
        <v>6.7552567883153577E-3</v>
      </c>
      <c r="F43">
        <f t="shared" si="3"/>
        <v>109.35099491238962</v>
      </c>
      <c r="G43" s="6">
        <f t="shared" si="4"/>
        <v>28.640289374999995</v>
      </c>
      <c r="H43" s="2"/>
      <c r="I43" s="2"/>
      <c r="J43" s="2"/>
    </row>
    <row r="44" spans="1:10" x14ac:dyDescent="0.3">
      <c r="A44" s="5">
        <v>0.22919999999999999</v>
      </c>
      <c r="B44" s="5">
        <v>2049.1</v>
      </c>
      <c r="C44">
        <f t="shared" si="0"/>
        <v>7.1624999999999996E-3</v>
      </c>
      <c r="D44">
        <f t="shared" si="1"/>
        <v>113.08498896247239</v>
      </c>
      <c r="E44">
        <f t="shared" si="2"/>
        <v>7.1369711247715488E-3</v>
      </c>
      <c r="F44">
        <f t="shared" si="3"/>
        <v>113.8949601959161</v>
      </c>
      <c r="G44" s="6">
        <f t="shared" si="4"/>
        <v>36.36484875</v>
      </c>
      <c r="H44" s="2"/>
      <c r="I44" s="2"/>
      <c r="J44" s="2"/>
    </row>
    <row r="45" spans="1:10" x14ac:dyDescent="0.3">
      <c r="A45" s="5">
        <v>0.24210000000000001</v>
      </c>
      <c r="B45" s="5">
        <v>2122.6</v>
      </c>
      <c r="C45">
        <f t="shared" si="0"/>
        <v>7.5656250000000003E-3</v>
      </c>
      <c r="D45">
        <f t="shared" si="1"/>
        <v>117.14128035320087</v>
      </c>
      <c r="E45">
        <f t="shared" si="2"/>
        <v>7.5371491938396483E-3</v>
      </c>
      <c r="F45">
        <f t="shared" si="3"/>
        <v>118.02752735237306</v>
      </c>
      <c r="G45" s="6">
        <f t="shared" si="4"/>
        <v>43.851729374999998</v>
      </c>
      <c r="H45" s="2"/>
      <c r="I45" s="2"/>
      <c r="J45" s="2"/>
    </row>
    <row r="46" spans="1:10" x14ac:dyDescent="0.3">
      <c r="A46" s="5">
        <v>0.25490000000000002</v>
      </c>
      <c r="B46" s="5">
        <v>2188.9</v>
      </c>
      <c r="C46">
        <f t="shared" si="0"/>
        <v>7.9656250000000005E-3</v>
      </c>
      <c r="D46">
        <f t="shared" si="1"/>
        <v>120.80022075055187</v>
      </c>
      <c r="E46">
        <f t="shared" si="2"/>
        <v>7.9340668851445202E-3</v>
      </c>
      <c r="F46">
        <f t="shared" si="3"/>
        <v>121.76247000896798</v>
      </c>
      <c r="G46" s="6">
        <f t="shared" si="4"/>
        <v>52.229905312500001</v>
      </c>
      <c r="H46" s="2"/>
      <c r="I46" s="2"/>
      <c r="J46" s="2"/>
    </row>
    <row r="47" spans="1:10" x14ac:dyDescent="0.3">
      <c r="A47" s="5">
        <v>0.26919999999999999</v>
      </c>
      <c r="B47" s="5">
        <v>2255.1</v>
      </c>
      <c r="C47">
        <f t="shared" si="0"/>
        <v>8.4124999999999998E-3</v>
      </c>
      <c r="D47">
        <f t="shared" si="1"/>
        <v>124.45364238410595</v>
      </c>
      <c r="E47">
        <f t="shared" si="2"/>
        <v>8.3773121294523391E-3</v>
      </c>
      <c r="F47">
        <f t="shared" si="3"/>
        <v>125.50060865066223</v>
      </c>
      <c r="G47" s="6">
        <f t="shared" si="4"/>
        <v>59.716785937499999</v>
      </c>
      <c r="H47" s="2"/>
      <c r="I47" s="2"/>
      <c r="J47" s="2"/>
    </row>
    <row r="48" spans="1:10" x14ac:dyDescent="0.3">
      <c r="A48" s="5">
        <v>0.27879999999999999</v>
      </c>
      <c r="B48" s="5">
        <v>2295.5</v>
      </c>
      <c r="C48">
        <f t="shared" si="0"/>
        <v>8.7124999999999998E-3</v>
      </c>
      <c r="D48">
        <f t="shared" si="1"/>
        <v>126.68322295805739</v>
      </c>
      <c r="E48">
        <f t="shared" si="2"/>
        <v>8.6747651898347392E-3</v>
      </c>
      <c r="F48">
        <f t="shared" si="3"/>
        <v>127.78695053807945</v>
      </c>
      <c r="G48" s="6">
        <f t="shared" si="4"/>
        <v>67.203666562500004</v>
      </c>
      <c r="H48" s="2"/>
      <c r="I48" s="2"/>
      <c r="J48" s="2"/>
    </row>
    <row r="49" spans="1:10" x14ac:dyDescent="0.3">
      <c r="A49" s="5">
        <v>0.29430000000000001</v>
      </c>
      <c r="B49" s="5">
        <v>2354.4</v>
      </c>
      <c r="C49">
        <f t="shared" si="0"/>
        <v>9.1968750000000002E-3</v>
      </c>
      <c r="D49">
        <f t="shared" si="1"/>
        <v>129.93377483443709</v>
      </c>
      <c r="E49">
        <f t="shared" si="2"/>
        <v>9.1548412678826348E-3</v>
      </c>
      <c r="F49">
        <f t="shared" si="3"/>
        <v>131.12875951986754</v>
      </c>
      <c r="G49" s="6">
        <f t="shared" si="4"/>
        <v>74.749966874999998</v>
      </c>
      <c r="H49" s="2"/>
      <c r="I49" s="2"/>
      <c r="J49" s="2"/>
    </row>
    <row r="50" spans="1:10" x14ac:dyDescent="0.3">
      <c r="A50" s="5">
        <v>0.30709999999999998</v>
      </c>
      <c r="B50" s="5">
        <v>2394.9</v>
      </c>
      <c r="C50">
        <f t="shared" si="0"/>
        <v>9.5968749999999995E-3</v>
      </c>
      <c r="D50">
        <f t="shared" si="1"/>
        <v>132.16887417218544</v>
      </c>
      <c r="E50">
        <f t="shared" si="2"/>
        <v>9.5511175147597136E-3</v>
      </c>
      <c r="F50">
        <f t="shared" si="3"/>
        <v>133.43728233650663</v>
      </c>
      <c r="G50" s="6">
        <f t="shared" si="4"/>
        <v>82.058588437499992</v>
      </c>
      <c r="H50" s="2"/>
      <c r="I50" s="2"/>
      <c r="J50" s="2"/>
    </row>
    <row r="51" spans="1:10" x14ac:dyDescent="0.3">
      <c r="A51" s="5">
        <v>0.3196</v>
      </c>
      <c r="B51" s="5">
        <v>2431.6999999999998</v>
      </c>
      <c r="C51">
        <f t="shared" si="0"/>
        <v>9.9874999999999999E-3</v>
      </c>
      <c r="D51">
        <f t="shared" si="1"/>
        <v>134.19977924944811</v>
      </c>
      <c r="E51">
        <f t="shared" si="2"/>
        <v>9.9379545389580975E-3</v>
      </c>
      <c r="F51">
        <f t="shared" si="3"/>
        <v>135.54009954470197</v>
      </c>
      <c r="G51" s="6">
        <f t="shared" si="4"/>
        <v>90.8527021875</v>
      </c>
      <c r="H51" s="2"/>
      <c r="I51" s="2"/>
      <c r="J51" s="2"/>
    </row>
    <row r="52" spans="1:10" x14ac:dyDescent="0.3">
      <c r="A52" s="5">
        <v>0.33389999999999997</v>
      </c>
      <c r="B52" s="5">
        <v>2464.8000000000002</v>
      </c>
      <c r="C52">
        <f t="shared" si="0"/>
        <v>1.0434374999999999E-2</v>
      </c>
      <c r="D52">
        <f t="shared" si="1"/>
        <v>136.02649006622516</v>
      </c>
      <c r="E52">
        <f t="shared" si="2"/>
        <v>1.0380312655167886E-2</v>
      </c>
      <c r="F52">
        <f t="shared" si="3"/>
        <v>137.44584147350994</v>
      </c>
      <c r="G52" s="6">
        <f t="shared" si="4"/>
        <v>98.161323749999994</v>
      </c>
      <c r="H52" s="2"/>
      <c r="I52" s="2"/>
      <c r="J52" s="2"/>
    </row>
    <row r="53" spans="1:10" x14ac:dyDescent="0.3">
      <c r="A53" s="5">
        <v>0.3468</v>
      </c>
      <c r="B53" s="5">
        <v>2490.5</v>
      </c>
      <c r="C53">
        <f t="shared" si="0"/>
        <v>1.08375E-2</v>
      </c>
      <c r="D53">
        <f t="shared" si="1"/>
        <v>137.44481236203089</v>
      </c>
      <c r="E53">
        <f t="shared" si="2"/>
        <v>1.0779195171004674E-2</v>
      </c>
      <c r="F53">
        <f t="shared" si="3"/>
        <v>138.93437051600441</v>
      </c>
      <c r="G53" s="6">
        <f t="shared" si="4"/>
        <v>105.8264634375</v>
      </c>
      <c r="H53" s="2"/>
      <c r="I53" s="2"/>
      <c r="J53" s="2"/>
    </row>
    <row r="54" spans="1:10" x14ac:dyDescent="0.3">
      <c r="A54" s="5">
        <v>0.3594</v>
      </c>
      <c r="B54" s="5">
        <v>2512.6</v>
      </c>
      <c r="C54">
        <f t="shared" si="0"/>
        <v>1.123125E-2</v>
      </c>
      <c r="D54">
        <f t="shared" si="1"/>
        <v>138.6644591611479</v>
      </c>
      <c r="E54">
        <f t="shared" si="2"/>
        <v>1.1168647809523272E-2</v>
      </c>
      <c r="F54">
        <f t="shared" si="3"/>
        <v>140.22183436810155</v>
      </c>
      <c r="G54" s="6">
        <f t="shared" si="4"/>
        <v>113.4321834375</v>
      </c>
      <c r="H54" s="2"/>
      <c r="I54" s="2"/>
      <c r="J54" s="2"/>
    </row>
    <row r="55" spans="1:10" x14ac:dyDescent="0.3">
      <c r="A55" s="5">
        <v>0.37219999999999998</v>
      </c>
      <c r="B55" s="5">
        <v>2534.6999999999998</v>
      </c>
      <c r="C55">
        <f t="shared" si="0"/>
        <v>1.1631249999999999E-2</v>
      </c>
      <c r="D55">
        <f t="shared" si="1"/>
        <v>139.88410596026489</v>
      </c>
      <c r="E55">
        <f t="shared" si="2"/>
        <v>1.1564126993316947E-2</v>
      </c>
      <c r="F55">
        <f t="shared" si="3"/>
        <v>141.51113296771521</v>
      </c>
      <c r="G55" s="6">
        <f t="shared" si="4"/>
        <v>121.92919875</v>
      </c>
      <c r="H55" s="2"/>
      <c r="I55" s="2"/>
      <c r="J55" s="2"/>
    </row>
    <row r="56" spans="1:10" x14ac:dyDescent="0.3">
      <c r="A56" s="5">
        <v>0.3846</v>
      </c>
      <c r="B56" s="5">
        <v>2553.1</v>
      </c>
      <c r="C56">
        <f t="shared" si="0"/>
        <v>1.201875E-2</v>
      </c>
      <c r="D56">
        <f t="shared" si="1"/>
        <v>140.89955849889623</v>
      </c>
      <c r="E56">
        <f t="shared" si="2"/>
        <v>1.1947098361622839E-2</v>
      </c>
      <c r="F56">
        <f t="shared" si="3"/>
        <v>142.59299506760482</v>
      </c>
      <c r="G56" s="6">
        <f t="shared" si="4"/>
        <v>127.63348874999998</v>
      </c>
      <c r="H56" s="2"/>
      <c r="I56" s="2"/>
      <c r="J56" s="2"/>
    </row>
    <row r="57" spans="1:10" x14ac:dyDescent="0.3">
      <c r="A57" s="5">
        <v>0.39889999999999998</v>
      </c>
      <c r="B57" s="5">
        <v>2571.4</v>
      </c>
      <c r="C57">
        <f t="shared" si="0"/>
        <v>1.2465624999999999E-2</v>
      </c>
      <c r="D57">
        <f t="shared" si="1"/>
        <v>141.90949227373068</v>
      </c>
      <c r="E57">
        <f t="shared" si="2"/>
        <v>1.2388568804937876E-2</v>
      </c>
      <c r="F57">
        <f t="shared" si="3"/>
        <v>143.67848278835538</v>
      </c>
      <c r="G57" s="6">
        <f t="shared" si="4"/>
        <v>136.84354031250001</v>
      </c>
      <c r="H57" s="2"/>
      <c r="I57" s="2"/>
      <c r="J57" s="2"/>
    </row>
    <row r="58" spans="1:10" x14ac:dyDescent="0.3">
      <c r="A58" s="5">
        <v>0.41170000000000001</v>
      </c>
      <c r="B58" s="5">
        <v>2582.5</v>
      </c>
      <c r="C58">
        <f t="shared" si="0"/>
        <v>1.2865625E-2</v>
      </c>
      <c r="D58">
        <f t="shared" si="1"/>
        <v>142.52207505518763</v>
      </c>
      <c r="E58">
        <f t="shared" si="2"/>
        <v>1.2783565924743277E-2</v>
      </c>
      <c r="F58">
        <f t="shared" si="3"/>
        <v>144.35571062706953</v>
      </c>
      <c r="G58" s="6">
        <f t="shared" si="4"/>
        <v>144.44926031249997</v>
      </c>
      <c r="H58" s="2"/>
      <c r="I58" s="2"/>
      <c r="J58" s="2"/>
    </row>
    <row r="59" spans="1:10" x14ac:dyDescent="0.3">
      <c r="A59" s="5">
        <v>0.42430000000000001</v>
      </c>
      <c r="B59" s="5">
        <v>2593.5</v>
      </c>
      <c r="C59">
        <f t="shared" si="0"/>
        <v>1.3259375E-2</v>
      </c>
      <c r="D59">
        <f t="shared" si="1"/>
        <v>143.12913907284766</v>
      </c>
      <c r="E59">
        <f t="shared" si="2"/>
        <v>1.3172238889103171E-2</v>
      </c>
      <c r="F59">
        <f t="shared" si="3"/>
        <v>145.02694200124171</v>
      </c>
      <c r="G59" s="6">
        <f t="shared" si="4"/>
        <v>151.87672125</v>
      </c>
      <c r="H59" s="2"/>
      <c r="I59" s="2"/>
      <c r="J59" s="2"/>
    </row>
    <row r="60" spans="1:10" x14ac:dyDescent="0.3">
      <c r="A60" s="5">
        <v>0.43690000000000001</v>
      </c>
      <c r="B60" s="5">
        <v>2604.6</v>
      </c>
      <c r="C60">
        <f t="shared" si="0"/>
        <v>1.3653125E-2</v>
      </c>
      <c r="D60">
        <f t="shared" si="1"/>
        <v>143.74172185430461</v>
      </c>
      <c r="E60">
        <f t="shared" si="2"/>
        <v>1.3560760845480661E-2</v>
      </c>
      <c r="F60">
        <f t="shared" si="3"/>
        <v>145.70424555049667</v>
      </c>
      <c r="G60" s="6">
        <f t="shared" si="4"/>
        <v>160.37373656249997</v>
      </c>
      <c r="H60" s="2"/>
      <c r="I60" s="2"/>
      <c r="J60" s="2"/>
    </row>
    <row r="61" spans="1:10" x14ac:dyDescent="0.3">
      <c r="A61" s="5">
        <v>0.45140000000000002</v>
      </c>
      <c r="B61" s="5">
        <v>2619.3000000000002</v>
      </c>
      <c r="C61">
        <f t="shared" si="0"/>
        <v>1.4106250000000001E-2</v>
      </c>
      <c r="D61">
        <f t="shared" si="1"/>
        <v>144.55298013245033</v>
      </c>
      <c r="E61">
        <f t="shared" si="2"/>
        <v>1.400768271710774E-2</v>
      </c>
      <c r="F61">
        <f t="shared" si="3"/>
        <v>146.59208060844369</v>
      </c>
      <c r="G61" s="6">
        <f t="shared" si="4"/>
        <v>168.03887624999999</v>
      </c>
      <c r="H61" s="2"/>
      <c r="I61" s="2"/>
      <c r="J61" s="2"/>
    </row>
    <row r="62" spans="1:10" x14ac:dyDescent="0.3">
      <c r="A62" s="5">
        <v>0.46410000000000001</v>
      </c>
      <c r="B62" s="5">
        <v>2626.6</v>
      </c>
      <c r="C62">
        <f t="shared" si="0"/>
        <v>1.4503125E-2</v>
      </c>
      <c r="D62">
        <f t="shared" si="1"/>
        <v>144.95584988962472</v>
      </c>
      <c r="E62">
        <f t="shared" si="2"/>
        <v>1.4398960614128683E-2</v>
      </c>
      <c r="F62">
        <f t="shared" si="3"/>
        <v>147.05816270005519</v>
      </c>
      <c r="G62" s="6">
        <f t="shared" si="4"/>
        <v>175.52575687499998</v>
      </c>
      <c r="H62" s="2"/>
      <c r="I62" s="2"/>
      <c r="J62" s="2"/>
    </row>
    <row r="63" spans="1:10" x14ac:dyDescent="0.3">
      <c r="A63" s="5">
        <v>0.47670000000000001</v>
      </c>
      <c r="B63" s="5">
        <v>2634</v>
      </c>
      <c r="C63">
        <f t="shared" si="0"/>
        <v>1.4896875E-2</v>
      </c>
      <c r="D63">
        <f t="shared" si="1"/>
        <v>145.36423841059602</v>
      </c>
      <c r="E63">
        <f t="shared" si="2"/>
        <v>1.4787006346799284E-2</v>
      </c>
      <c r="F63">
        <f t="shared" si="3"/>
        <v>147.52971129966886</v>
      </c>
      <c r="G63" s="6">
        <f t="shared" si="4"/>
        <v>183.13147687499998</v>
      </c>
      <c r="H63" s="2"/>
      <c r="I63" s="2"/>
      <c r="J63" s="2"/>
    </row>
    <row r="64" spans="1:10" x14ac:dyDescent="0.3">
      <c r="A64" s="5">
        <v>0.48959999999999998</v>
      </c>
      <c r="B64" s="5">
        <v>2641.3</v>
      </c>
      <c r="C64">
        <f t="shared" si="0"/>
        <v>1.5299999999999999E-2</v>
      </c>
      <c r="D64">
        <f t="shared" si="1"/>
        <v>145.76710816777043</v>
      </c>
      <c r="E64">
        <f t="shared" si="2"/>
        <v>1.5184135325040055E-2</v>
      </c>
      <c r="F64">
        <f t="shared" si="3"/>
        <v>147.99734492273734</v>
      </c>
      <c r="G64" s="6">
        <f t="shared" si="4"/>
        <v>190.49951812499998</v>
      </c>
      <c r="H64" s="2"/>
      <c r="I64" s="2"/>
      <c r="J64" s="2"/>
    </row>
    <row r="65" spans="1:10" x14ac:dyDescent="0.3">
      <c r="A65" s="5">
        <v>0.50190000000000001</v>
      </c>
      <c r="B65" s="5">
        <v>2645</v>
      </c>
      <c r="C65">
        <f t="shared" si="0"/>
        <v>1.5684375E-2</v>
      </c>
      <c r="D65">
        <f t="shared" si="1"/>
        <v>145.97130242825605</v>
      </c>
      <c r="E65">
        <f t="shared" si="2"/>
        <v>1.5562646365617626E-2</v>
      </c>
      <c r="F65">
        <f t="shared" si="3"/>
        <v>148.26077107477923</v>
      </c>
      <c r="G65" s="6">
        <f t="shared" si="4"/>
        <v>198.99653343749998</v>
      </c>
      <c r="H65" s="2"/>
      <c r="I65" s="2"/>
      <c r="J65" s="2"/>
    </row>
    <row r="66" spans="1:10" x14ac:dyDescent="0.3">
      <c r="A66" s="5">
        <v>0.51639999999999997</v>
      </c>
      <c r="B66" s="5">
        <v>2648.7</v>
      </c>
      <c r="C66">
        <f t="shared" si="0"/>
        <v>1.6137499999999999E-2</v>
      </c>
      <c r="D66">
        <f t="shared" si="1"/>
        <v>146.1754966887417</v>
      </c>
      <c r="E66">
        <f t="shared" si="2"/>
        <v>1.6008674645052352E-2</v>
      </c>
      <c r="F66">
        <f t="shared" si="3"/>
        <v>148.53440376655627</v>
      </c>
      <c r="G66" s="6">
        <f t="shared" si="4"/>
        <v>206.6022534375</v>
      </c>
      <c r="H66" s="2"/>
      <c r="I66" s="2"/>
      <c r="J66" s="2"/>
    </row>
    <row r="67" spans="1:10" x14ac:dyDescent="0.3">
      <c r="A67" s="5">
        <v>0.52890000000000004</v>
      </c>
      <c r="B67" s="5">
        <v>2656.1</v>
      </c>
      <c r="C67">
        <f t="shared" si="0"/>
        <v>1.6528125000000001E-2</v>
      </c>
      <c r="D67">
        <f t="shared" si="1"/>
        <v>146.583885209713</v>
      </c>
      <c r="E67">
        <f t="shared" si="2"/>
        <v>1.6393022173740238E-2</v>
      </c>
      <c r="F67">
        <f t="shared" si="3"/>
        <v>149.00664198744479</v>
      </c>
      <c r="G67" s="6">
        <f t="shared" si="4"/>
        <v>214.08913406249999</v>
      </c>
      <c r="H67" s="2"/>
      <c r="I67" s="2"/>
      <c r="J67" s="2"/>
    </row>
    <row r="68" spans="1:10" x14ac:dyDescent="0.3">
      <c r="A68" s="5">
        <v>0.54179999999999995</v>
      </c>
      <c r="B68" s="5">
        <v>2659.7</v>
      </c>
      <c r="C68">
        <f t="shared" si="0"/>
        <v>1.6931249999999998E-2</v>
      </c>
      <c r="D68">
        <f t="shared" si="1"/>
        <v>146.78256070640174</v>
      </c>
      <c r="E68">
        <f t="shared" si="2"/>
        <v>1.6789513994759472E-2</v>
      </c>
      <c r="F68">
        <f t="shared" si="3"/>
        <v>149.26777293736203</v>
      </c>
      <c r="G68" s="6">
        <f t="shared" si="4"/>
        <v>221.57601468749999</v>
      </c>
      <c r="H68" s="2"/>
      <c r="I68" s="2"/>
      <c r="J68" s="2"/>
    </row>
    <row r="69" spans="1:10" x14ac:dyDescent="0.3">
      <c r="A69" s="5">
        <v>0.55430000000000001</v>
      </c>
      <c r="B69" s="5">
        <v>2663.4</v>
      </c>
      <c r="C69">
        <f t="shared" si="0"/>
        <v>1.7321875E-2</v>
      </c>
      <c r="D69">
        <f t="shared" si="1"/>
        <v>146.98675496688742</v>
      </c>
      <c r="E69">
        <f t="shared" si="2"/>
        <v>1.7173561584511662E-2</v>
      </c>
      <c r="F69">
        <f t="shared" si="3"/>
        <v>149.53284116307947</v>
      </c>
      <c r="G69" s="6">
        <f t="shared" si="4"/>
        <v>230.19186937500001</v>
      </c>
      <c r="H69" s="2"/>
      <c r="I69" s="2"/>
      <c r="J69" s="2"/>
    </row>
    <row r="70" spans="1:10" x14ac:dyDescent="0.3">
      <c r="A70" s="5">
        <v>0.56820000000000004</v>
      </c>
      <c r="B70" s="5">
        <v>2663.4</v>
      </c>
      <c r="C70">
        <f t="shared" si="0"/>
        <v>1.7756250000000001E-2</v>
      </c>
      <c r="D70">
        <f t="shared" si="1"/>
        <v>146.98675496688742</v>
      </c>
      <c r="E70">
        <f t="shared" si="2"/>
        <v>1.7600449379393195E-2</v>
      </c>
      <c r="F70">
        <f t="shared" si="3"/>
        <v>149.59668853476819</v>
      </c>
      <c r="G70" s="2"/>
      <c r="H70" s="2"/>
      <c r="I70" s="2"/>
      <c r="J70" s="2"/>
    </row>
    <row r="71" spans="1:10" x14ac:dyDescent="0.3">
      <c r="A71" s="5">
        <v>0.58140000000000003</v>
      </c>
      <c r="B71" s="5">
        <v>2667.1</v>
      </c>
      <c r="C71">
        <f t="shared" si="0"/>
        <v>1.8168750000000001E-2</v>
      </c>
      <c r="D71">
        <f t="shared" si="1"/>
        <v>147.19094922737307</v>
      </c>
      <c r="E71">
        <f t="shared" si="2"/>
        <v>1.8005670598882785E-2</v>
      </c>
      <c r="F71">
        <f t="shared" si="3"/>
        <v>149.86522478614791</v>
      </c>
      <c r="G71" s="2"/>
      <c r="H71" s="2"/>
      <c r="I71" s="2"/>
      <c r="J71" s="2"/>
    </row>
    <row r="72" spans="1:10" x14ac:dyDescent="0.3">
      <c r="A72" s="5">
        <v>0.59389999999999998</v>
      </c>
      <c r="B72" s="5">
        <v>2667.1</v>
      </c>
      <c r="C72">
        <f t="shared" si="0"/>
        <v>1.8559374999999999E-2</v>
      </c>
      <c r="D72">
        <f t="shared" si="1"/>
        <v>147.19094922737307</v>
      </c>
      <c r="E72">
        <f t="shared" si="2"/>
        <v>1.8389251500029711E-2</v>
      </c>
      <c r="F72">
        <f t="shared" si="3"/>
        <v>149.92272125068985</v>
      </c>
      <c r="G72" s="2"/>
      <c r="H72" s="2"/>
      <c r="I72" s="2"/>
      <c r="J72" s="2"/>
    </row>
    <row r="73" spans="1:10" x14ac:dyDescent="0.3">
      <c r="A73" s="5">
        <v>0.60670000000000002</v>
      </c>
      <c r="B73" s="5">
        <v>2670.8</v>
      </c>
      <c r="C73">
        <f t="shared" si="0"/>
        <v>1.8959375000000001E-2</v>
      </c>
      <c r="D73">
        <f t="shared" si="1"/>
        <v>147.39514348785872</v>
      </c>
      <c r="E73">
        <f t="shared" si="2"/>
        <v>1.8781885928683587E-2</v>
      </c>
      <c r="F73">
        <f t="shared" si="3"/>
        <v>150.18966328642387</v>
      </c>
      <c r="G73" s="2"/>
      <c r="H73" s="2"/>
      <c r="I73" s="2"/>
      <c r="J73" s="2"/>
    </row>
    <row r="74" spans="1:10" x14ac:dyDescent="0.3">
      <c r="A74" s="5">
        <v>0.61939999999999995</v>
      </c>
      <c r="B74" s="5">
        <v>2670.8</v>
      </c>
      <c r="C74">
        <f t="shared" si="0"/>
        <v>1.9356249999999998E-2</v>
      </c>
      <c r="D74">
        <f t="shared" si="1"/>
        <v>147.39514348785872</v>
      </c>
      <c r="E74">
        <f t="shared" si="2"/>
        <v>1.9171300600432623E-2</v>
      </c>
      <c r="F74">
        <f t="shared" si="3"/>
        <v>150.24816073399558</v>
      </c>
      <c r="G74" s="2"/>
      <c r="H74" s="2"/>
      <c r="I74" s="2"/>
      <c r="J74" s="2"/>
    </row>
    <row r="75" spans="1:10" x14ac:dyDescent="0.3">
      <c r="A75" s="5">
        <v>0.63390000000000002</v>
      </c>
      <c r="B75" s="5">
        <v>2674.5</v>
      </c>
      <c r="C75">
        <f t="shared" si="0"/>
        <v>1.9809375000000001E-2</v>
      </c>
      <c r="D75">
        <f t="shared" si="1"/>
        <v>147.59933774834437</v>
      </c>
      <c r="E75">
        <f t="shared" si="2"/>
        <v>1.9615722575678538E-2</v>
      </c>
      <c r="F75">
        <f t="shared" si="3"/>
        <v>150.52318837955298</v>
      </c>
      <c r="G75" s="2"/>
      <c r="H75" s="2"/>
      <c r="I75" s="2"/>
      <c r="J75" s="2"/>
    </row>
    <row r="76" spans="1:10" x14ac:dyDescent="0.3">
      <c r="A76" s="5">
        <v>0.64649999999999996</v>
      </c>
      <c r="B76" s="5">
        <v>2674.5</v>
      </c>
      <c r="C76">
        <f t="shared" si="0"/>
        <v>2.0203124999999999E-2</v>
      </c>
      <c r="D76">
        <f t="shared" si="1"/>
        <v>147.59933774834437</v>
      </c>
      <c r="E76">
        <f t="shared" si="2"/>
        <v>2.0001749626875343E-2</v>
      </c>
      <c r="F76">
        <f t="shared" si="3"/>
        <v>150.58130561879139</v>
      </c>
      <c r="G76" s="2"/>
      <c r="H76" s="2"/>
      <c r="I76" s="2"/>
      <c r="J76" s="2"/>
    </row>
    <row r="77" spans="1:10" x14ac:dyDescent="0.3">
      <c r="A77" s="5">
        <v>0.65900000000000003</v>
      </c>
      <c r="B77" s="5">
        <v>2674.5</v>
      </c>
      <c r="C77">
        <f t="shared" si="0"/>
        <v>2.0593750000000001E-2</v>
      </c>
      <c r="D77">
        <f t="shared" si="1"/>
        <v>147.59933774834437</v>
      </c>
      <c r="E77">
        <f t="shared" si="2"/>
        <v>2.0384565780266713E-2</v>
      </c>
      <c r="F77">
        <f t="shared" si="3"/>
        <v>150.63896161009933</v>
      </c>
      <c r="G77" s="2"/>
      <c r="H77" s="2"/>
      <c r="I77" s="2"/>
      <c r="J77" s="2"/>
    </row>
    <row r="78" spans="1:10" x14ac:dyDescent="0.3">
      <c r="A78" s="5">
        <v>0.67179999999999995</v>
      </c>
      <c r="B78" s="5">
        <v>2674.5</v>
      </c>
      <c r="C78">
        <f t="shared" si="0"/>
        <v>2.0993749999999999E-2</v>
      </c>
      <c r="D78">
        <f t="shared" si="1"/>
        <v>147.59933774834437</v>
      </c>
      <c r="E78">
        <f t="shared" si="2"/>
        <v>2.0776417714233022E-2</v>
      </c>
      <c r="F78">
        <f t="shared" si="3"/>
        <v>150.69800134519866</v>
      </c>
      <c r="G78" s="2"/>
      <c r="H78" s="2"/>
      <c r="I78" s="2"/>
      <c r="J78" s="2"/>
    </row>
    <row r="79" spans="1:10" x14ac:dyDescent="0.3">
      <c r="A79" s="5">
        <v>0.68420000000000003</v>
      </c>
      <c r="B79" s="5">
        <v>2674.5</v>
      </c>
      <c r="C79">
        <f t="shared" si="0"/>
        <v>2.1381250000000001E-2</v>
      </c>
      <c r="D79">
        <f t="shared" si="1"/>
        <v>147.59933774834437</v>
      </c>
      <c r="E79">
        <f t="shared" si="2"/>
        <v>2.1155877906068179E-2</v>
      </c>
      <c r="F79">
        <f t="shared" si="3"/>
        <v>150.75519608857616</v>
      </c>
      <c r="G79" s="2"/>
      <c r="H79" s="2"/>
      <c r="I79" s="2"/>
      <c r="J79" s="2"/>
    </row>
    <row r="80" spans="1:10" x14ac:dyDescent="0.3">
      <c r="A80" s="5">
        <v>0.69889999999999997</v>
      </c>
      <c r="B80" s="5">
        <v>2674.5</v>
      </c>
      <c r="C80">
        <f t="shared" si="0"/>
        <v>2.1840624999999999E-2</v>
      </c>
      <c r="D80">
        <f t="shared" si="1"/>
        <v>147.59933774834437</v>
      </c>
      <c r="E80">
        <f t="shared" si="2"/>
        <v>2.1605535393941645E-2</v>
      </c>
      <c r="F80">
        <f t="shared" si="3"/>
        <v>150.82299953435432</v>
      </c>
      <c r="G80" s="2"/>
      <c r="H80" s="2"/>
      <c r="I80" s="2"/>
      <c r="J80" s="2"/>
    </row>
    <row r="81" spans="1:10" x14ac:dyDescent="0.3">
      <c r="A81" s="5">
        <v>0.71160000000000001</v>
      </c>
      <c r="B81" s="5">
        <v>2674.5</v>
      </c>
      <c r="C81">
        <f t="shared" si="0"/>
        <v>2.22375E-2</v>
      </c>
      <c r="D81">
        <f t="shared" si="1"/>
        <v>147.59933774834437</v>
      </c>
      <c r="E81">
        <f t="shared" si="2"/>
        <v>2.1993852259263921E-2</v>
      </c>
      <c r="F81">
        <f t="shared" si="3"/>
        <v>150.88157802152315</v>
      </c>
      <c r="G81" s="2"/>
      <c r="H81" s="2"/>
      <c r="I81" s="2"/>
      <c r="J81" s="2"/>
    </row>
    <row r="82" spans="1:10" x14ac:dyDescent="0.3">
      <c r="A82" s="5">
        <v>0.72419999999999995</v>
      </c>
      <c r="B82" s="5">
        <v>2674.5</v>
      </c>
      <c r="C82">
        <f t="shared" si="0"/>
        <v>2.2631249999999999E-2</v>
      </c>
      <c r="D82">
        <f t="shared" si="1"/>
        <v>147.59933774834437</v>
      </c>
      <c r="E82">
        <f t="shared" si="2"/>
        <v>2.2378962555332178E-2</v>
      </c>
      <c r="F82">
        <f t="shared" si="3"/>
        <v>150.9396952607616</v>
      </c>
      <c r="G82" s="2"/>
      <c r="H82" s="2"/>
      <c r="I82" s="2"/>
      <c r="J82" s="2"/>
    </row>
    <row r="83" spans="1:10" x14ac:dyDescent="0.3">
      <c r="A83" s="5">
        <v>0.73660000000000003</v>
      </c>
      <c r="B83" s="5">
        <v>2674.5</v>
      </c>
      <c r="C83">
        <f t="shared" si="0"/>
        <v>2.3018750000000001E-2</v>
      </c>
      <c r="D83">
        <f t="shared" si="1"/>
        <v>147.59933774834437</v>
      </c>
      <c r="E83">
        <f t="shared" si="2"/>
        <v>2.2757815247273407E-2</v>
      </c>
      <c r="F83">
        <f t="shared" si="3"/>
        <v>150.99689000413909</v>
      </c>
      <c r="G83" s="2"/>
      <c r="H83" s="2"/>
      <c r="I83" s="2"/>
      <c r="J83" s="2"/>
    </row>
    <row r="84" spans="1:10" x14ac:dyDescent="0.3">
      <c r="A84" s="5">
        <v>0.75070000000000003</v>
      </c>
      <c r="B84" s="5">
        <v>2674.5</v>
      </c>
      <c r="C84">
        <f t="shared" si="0"/>
        <v>2.3459375000000001E-2</v>
      </c>
      <c r="D84">
        <f t="shared" si="1"/>
        <v>147.59933774834437</v>
      </c>
      <c r="E84">
        <f t="shared" si="2"/>
        <v>2.3188433098914302E-2</v>
      </c>
      <c r="F84">
        <f t="shared" si="3"/>
        <v>151.06192596233444</v>
      </c>
      <c r="G84" s="2"/>
      <c r="H84" s="2"/>
      <c r="I84" s="2"/>
      <c r="J84" s="2"/>
    </row>
    <row r="85" spans="1:10" x14ac:dyDescent="0.3">
      <c r="A85" s="5">
        <v>0.76390000000000002</v>
      </c>
      <c r="B85" s="5">
        <v>2674.5</v>
      </c>
      <c r="C85">
        <f t="shared" si="0"/>
        <v>2.3871875000000001E-2</v>
      </c>
      <c r="D85">
        <f t="shared" si="1"/>
        <v>147.59933774834437</v>
      </c>
      <c r="E85">
        <f t="shared" si="2"/>
        <v>2.3591396718584276E-2</v>
      </c>
      <c r="F85">
        <f t="shared" si="3"/>
        <v>151.12281068915561</v>
      </c>
      <c r="G85" s="2"/>
      <c r="H85" s="2"/>
      <c r="I85" s="2"/>
      <c r="J85" s="2"/>
    </row>
    <row r="86" spans="1:10" x14ac:dyDescent="0.3">
      <c r="A86" s="5">
        <v>0.77629999999999999</v>
      </c>
      <c r="B86" s="5">
        <v>2670.8</v>
      </c>
      <c r="C86">
        <f t="shared" si="0"/>
        <v>2.4259375E-2</v>
      </c>
      <c r="D86">
        <f t="shared" si="1"/>
        <v>147.39514348785872</v>
      </c>
      <c r="E86">
        <f t="shared" si="2"/>
        <v>2.3969790441763457E-2</v>
      </c>
      <c r="F86">
        <f t="shared" si="3"/>
        <v>150.97085754690949</v>
      </c>
      <c r="G86" s="2"/>
      <c r="H86" s="2"/>
      <c r="I86" s="2"/>
      <c r="J86" s="2"/>
    </row>
    <row r="87" spans="1:10" x14ac:dyDescent="0.3">
      <c r="A87" s="5">
        <v>0.78900000000000003</v>
      </c>
      <c r="B87" s="5">
        <v>2670.8</v>
      </c>
      <c r="C87">
        <f t="shared" si="0"/>
        <v>2.4656250000000001E-2</v>
      </c>
      <c r="D87">
        <f t="shared" si="1"/>
        <v>147.39514348785872</v>
      </c>
      <c r="E87">
        <f t="shared" si="2"/>
        <v>2.4357190489009053E-2</v>
      </c>
      <c r="F87">
        <f t="shared" si="3"/>
        <v>151.02935499448125</v>
      </c>
      <c r="G87" s="2"/>
      <c r="H87" s="2"/>
      <c r="I87" s="2"/>
      <c r="J87" s="2"/>
    </row>
    <row r="88" spans="1:10" x14ac:dyDescent="0.3">
      <c r="A88" s="5">
        <v>0.80159999999999998</v>
      </c>
      <c r="B88" s="5">
        <v>2670.8</v>
      </c>
      <c r="C88">
        <f t="shared" si="0"/>
        <v>2.5049999999999999E-2</v>
      </c>
      <c r="D88">
        <f t="shared" si="1"/>
        <v>147.39514348785872</v>
      </c>
      <c r="E88">
        <f t="shared" si="2"/>
        <v>2.4741391888447092E-2</v>
      </c>
      <c r="F88">
        <f t="shared" si="3"/>
        <v>151.08739183222957</v>
      </c>
      <c r="G88" s="2"/>
      <c r="H88" s="2"/>
      <c r="I88" s="2"/>
      <c r="J88" s="2"/>
    </row>
    <row r="89" spans="1:10" x14ac:dyDescent="0.3">
      <c r="A89" s="5">
        <v>0.81569999999999998</v>
      </c>
      <c r="B89" s="5">
        <v>2670.8</v>
      </c>
      <c r="C89">
        <f t="shared" ref="C89:C152" si="5">A89/32</f>
        <v>2.5490624999999999E-2</v>
      </c>
      <c r="D89">
        <f t="shared" ref="D89:D152" si="6">B89/(3*6.04)</f>
        <v>147.39514348785872</v>
      </c>
      <c r="E89">
        <f t="shared" ref="E89:E98" si="7">LN(1+C89)</f>
        <v>2.5171156606502206E-2</v>
      </c>
      <c r="F89">
        <f t="shared" ref="F89:F98" si="8">D89*(1+C89)</f>
        <v>151.15233781732891</v>
      </c>
      <c r="G89" s="2"/>
      <c r="H89" s="2"/>
      <c r="I89" s="2"/>
      <c r="J89" s="2"/>
    </row>
    <row r="90" spans="1:10" x14ac:dyDescent="0.3">
      <c r="A90" s="5">
        <v>0.8286</v>
      </c>
      <c r="B90" s="5">
        <v>2670.8</v>
      </c>
      <c r="C90">
        <f t="shared" si="5"/>
        <v>2.589375E-2</v>
      </c>
      <c r="D90">
        <f t="shared" si="6"/>
        <v>147.39514348785872</v>
      </c>
      <c r="E90">
        <f t="shared" si="7"/>
        <v>2.556418388125592E-2</v>
      </c>
      <c r="F90">
        <f t="shared" si="8"/>
        <v>151.21175648454746</v>
      </c>
      <c r="G90" s="2"/>
      <c r="H90" s="2"/>
      <c r="I90" s="2"/>
      <c r="J90" s="2"/>
    </row>
    <row r="91" spans="1:10" x14ac:dyDescent="0.3">
      <c r="A91" s="5">
        <v>0.84099999999999997</v>
      </c>
      <c r="B91" s="5">
        <v>2674.5</v>
      </c>
      <c r="C91">
        <f t="shared" si="5"/>
        <v>2.6281249999999999E-2</v>
      </c>
      <c r="D91">
        <f t="shared" si="6"/>
        <v>147.59933774834437</v>
      </c>
      <c r="E91">
        <f t="shared" si="7"/>
        <v>2.5941831990803459E-2</v>
      </c>
      <c r="F91">
        <f t="shared" si="8"/>
        <v>151.47843284354306</v>
      </c>
      <c r="G91" s="2"/>
      <c r="H91" s="2"/>
      <c r="I91" s="2"/>
      <c r="J91" s="2"/>
    </row>
    <row r="92" spans="1:10" x14ac:dyDescent="0.3">
      <c r="A92" s="5">
        <v>0.85409999999999997</v>
      </c>
      <c r="B92" s="5">
        <v>2674.5</v>
      </c>
      <c r="C92">
        <f t="shared" si="5"/>
        <v>2.6690624999999999E-2</v>
      </c>
      <c r="D92">
        <f t="shared" si="6"/>
        <v>147.59933774834437</v>
      </c>
      <c r="E92">
        <f t="shared" si="7"/>
        <v>2.6340644084053403E-2</v>
      </c>
      <c r="F92">
        <f t="shared" si="8"/>
        <v>151.53885632243379</v>
      </c>
      <c r="G92" s="2"/>
      <c r="H92" s="2"/>
      <c r="I92" s="2"/>
      <c r="J92" s="2"/>
    </row>
    <row r="93" spans="1:10" x14ac:dyDescent="0.3">
      <c r="A93" s="5">
        <v>0.86809999999999998</v>
      </c>
      <c r="B93" s="5">
        <v>2670.8</v>
      </c>
      <c r="C93">
        <f t="shared" si="5"/>
        <v>2.7128124999999999E-2</v>
      </c>
      <c r="D93">
        <f t="shared" si="6"/>
        <v>147.39514348785872</v>
      </c>
      <c r="E93">
        <f t="shared" si="7"/>
        <v>2.6766679737508497E-2</v>
      </c>
      <c r="F93">
        <f t="shared" si="8"/>
        <v>151.39369736479028</v>
      </c>
      <c r="G93" s="2"/>
      <c r="H93" s="2"/>
      <c r="I93" s="2"/>
      <c r="J93" s="2"/>
    </row>
    <row r="94" spans="1:10" x14ac:dyDescent="0.3">
      <c r="A94" s="5">
        <v>0.88070000000000004</v>
      </c>
      <c r="B94" s="5">
        <v>2670.8</v>
      </c>
      <c r="C94">
        <f t="shared" si="5"/>
        <v>2.7521875000000001E-2</v>
      </c>
      <c r="D94">
        <f t="shared" si="6"/>
        <v>147.39514348785872</v>
      </c>
      <c r="E94">
        <f t="shared" si="7"/>
        <v>2.7149956699346445E-2</v>
      </c>
      <c r="F94">
        <f t="shared" si="8"/>
        <v>151.45173420253863</v>
      </c>
      <c r="G94" s="2"/>
      <c r="H94" s="2"/>
      <c r="I94" s="2"/>
      <c r="J94" s="2"/>
    </row>
    <row r="95" spans="1:10" x14ac:dyDescent="0.3">
      <c r="A95" s="5">
        <v>0.89339999999999997</v>
      </c>
      <c r="B95" s="5">
        <v>2667.1</v>
      </c>
      <c r="C95">
        <f t="shared" si="5"/>
        <v>2.7918749999999999E-2</v>
      </c>
      <c r="D95">
        <f t="shared" si="6"/>
        <v>147.19094922737307</v>
      </c>
      <c r="E95">
        <f t="shared" si="7"/>
        <v>2.753612694440731E-2</v>
      </c>
      <c r="F95">
        <f t="shared" si="8"/>
        <v>151.3003365411148</v>
      </c>
      <c r="G95" s="2"/>
      <c r="H95" s="2"/>
      <c r="I95" s="2"/>
      <c r="J95" s="2"/>
    </row>
    <row r="96" spans="1:10" x14ac:dyDescent="0.3">
      <c r="A96" s="5">
        <v>0.90600000000000003</v>
      </c>
      <c r="B96" s="5">
        <v>2667.1</v>
      </c>
      <c r="C96">
        <f t="shared" si="5"/>
        <v>2.8312500000000001E-2</v>
      </c>
      <c r="D96">
        <f t="shared" si="6"/>
        <v>147.19094922737307</v>
      </c>
      <c r="E96">
        <f t="shared" si="7"/>
        <v>2.7919109164731757E-2</v>
      </c>
      <c r="F96">
        <f t="shared" si="8"/>
        <v>151.35829297737305</v>
      </c>
      <c r="G96" s="2"/>
      <c r="H96" s="2"/>
      <c r="I96" s="2"/>
      <c r="J96" s="2"/>
    </row>
    <row r="97" spans="1:10" x14ac:dyDescent="0.3">
      <c r="A97" s="5">
        <v>0.91890000000000005</v>
      </c>
      <c r="B97" s="5">
        <v>2667.1</v>
      </c>
      <c r="C97">
        <f t="shared" si="5"/>
        <v>2.8715625000000002E-2</v>
      </c>
      <c r="D97">
        <f t="shared" si="6"/>
        <v>147.19094922737307</v>
      </c>
      <c r="E97">
        <f t="shared" si="7"/>
        <v>2.8311058113082536E-2</v>
      </c>
      <c r="F97">
        <f t="shared" si="8"/>
        <v>151.41762932878035</v>
      </c>
      <c r="G97" s="2"/>
      <c r="H97" s="2"/>
      <c r="I97" s="2"/>
      <c r="J97" s="2"/>
    </row>
    <row r="98" spans="1:10" x14ac:dyDescent="0.3">
      <c r="A98" s="5">
        <v>0.93320000000000003</v>
      </c>
      <c r="B98" s="5">
        <v>2667.1</v>
      </c>
      <c r="C98">
        <f t="shared" si="5"/>
        <v>2.9162500000000001E-2</v>
      </c>
      <c r="D98">
        <f t="shared" si="6"/>
        <v>147.19094922737307</v>
      </c>
      <c r="E98">
        <f t="shared" si="7"/>
        <v>2.8745364694794388E-2</v>
      </c>
      <c r="F98">
        <f t="shared" si="8"/>
        <v>151.48340528421633</v>
      </c>
      <c r="G98" s="2"/>
      <c r="H98" s="2"/>
      <c r="I98" s="2"/>
      <c r="J98" s="2"/>
    </row>
    <row r="99" spans="1:10" x14ac:dyDescent="0.3">
      <c r="A99" s="5">
        <v>0.94540000000000002</v>
      </c>
      <c r="B99" s="5">
        <v>2663.4</v>
      </c>
      <c r="C99">
        <f t="shared" si="5"/>
        <v>2.9543750000000001E-2</v>
      </c>
      <c r="D99">
        <f t="shared" si="6"/>
        <v>146.98675496688742</v>
      </c>
      <c r="E99" s="2"/>
      <c r="F99" s="2"/>
      <c r="G99" s="2"/>
      <c r="H99" s="2"/>
    </row>
    <row r="100" spans="1:10" x14ac:dyDescent="0.3">
      <c r="A100" s="5">
        <v>0.95840000000000003</v>
      </c>
      <c r="B100" s="5">
        <v>2663.4</v>
      </c>
      <c r="C100">
        <f t="shared" si="5"/>
        <v>2.9950000000000001E-2</v>
      </c>
      <c r="D100">
        <f t="shared" si="6"/>
        <v>146.98675496688742</v>
      </c>
      <c r="E100" s="2"/>
      <c r="F100" s="2"/>
      <c r="G100" s="2"/>
      <c r="H100" s="2"/>
    </row>
    <row r="101" spans="1:10" x14ac:dyDescent="0.3">
      <c r="A101" s="5">
        <v>0.97099999999999997</v>
      </c>
      <c r="B101" s="5">
        <v>2659.7</v>
      </c>
      <c r="C101">
        <f t="shared" si="5"/>
        <v>3.0343749999999999E-2</v>
      </c>
      <c r="D101">
        <f t="shared" si="6"/>
        <v>146.78256070640174</v>
      </c>
      <c r="E101" s="2"/>
      <c r="F101" s="2"/>
      <c r="G101" s="2"/>
      <c r="H101" s="2"/>
    </row>
    <row r="102" spans="1:10" x14ac:dyDescent="0.3">
      <c r="A102" s="5">
        <v>0.98360000000000003</v>
      </c>
      <c r="B102" s="5">
        <v>2659.7</v>
      </c>
      <c r="C102">
        <f t="shared" si="5"/>
        <v>3.0737500000000001E-2</v>
      </c>
      <c r="D102">
        <f t="shared" si="6"/>
        <v>146.78256070640174</v>
      </c>
      <c r="E102" s="2"/>
      <c r="F102" s="2"/>
      <c r="G102" s="2"/>
      <c r="H102" s="2"/>
    </row>
    <row r="103" spans="1:10" x14ac:dyDescent="0.3">
      <c r="A103" s="5">
        <v>0.998</v>
      </c>
      <c r="B103" s="5">
        <v>2659.7</v>
      </c>
      <c r="C103">
        <f t="shared" si="5"/>
        <v>3.11875E-2</v>
      </c>
      <c r="D103">
        <f t="shared" si="6"/>
        <v>146.78256070640174</v>
      </c>
      <c r="E103" s="2"/>
      <c r="F103" s="2"/>
      <c r="G103" s="2"/>
      <c r="H103" s="2"/>
    </row>
    <row r="104" spans="1:10" x14ac:dyDescent="0.3">
      <c r="A104" s="5">
        <v>1.0106999999999999</v>
      </c>
      <c r="B104" s="5">
        <v>2656.1</v>
      </c>
      <c r="C104">
        <f t="shared" si="5"/>
        <v>3.1584374999999998E-2</v>
      </c>
      <c r="D104">
        <f t="shared" si="6"/>
        <v>146.583885209713</v>
      </c>
      <c r="E104" s="2"/>
      <c r="F104" s="2"/>
      <c r="G104" s="2"/>
      <c r="H104" s="2"/>
    </row>
    <row r="105" spans="1:10" x14ac:dyDescent="0.3">
      <c r="A105" s="5">
        <v>1.0236000000000001</v>
      </c>
      <c r="B105" s="5">
        <v>2656.1</v>
      </c>
      <c r="C105">
        <f t="shared" si="5"/>
        <v>3.1987500000000002E-2</v>
      </c>
      <c r="D105">
        <f t="shared" si="6"/>
        <v>146.583885209713</v>
      </c>
      <c r="E105" s="2"/>
      <c r="F105" s="2"/>
      <c r="G105" s="2"/>
      <c r="H105" s="2"/>
    </row>
    <row r="106" spans="1:10" x14ac:dyDescent="0.3">
      <c r="A106" s="5">
        <v>1.036</v>
      </c>
      <c r="B106" s="5">
        <v>2652.4</v>
      </c>
      <c r="C106">
        <f t="shared" si="5"/>
        <v>3.2375000000000001E-2</v>
      </c>
      <c r="D106">
        <f t="shared" si="6"/>
        <v>146.37969094922738</v>
      </c>
      <c r="E106" s="2"/>
      <c r="F106" s="2"/>
      <c r="G106" s="2"/>
      <c r="H106" s="2"/>
    </row>
    <row r="107" spans="1:10" x14ac:dyDescent="0.3">
      <c r="A107" s="5">
        <v>1.0503</v>
      </c>
      <c r="B107" s="5">
        <v>2648.7</v>
      </c>
      <c r="C107">
        <f t="shared" si="5"/>
        <v>3.2821875E-2</v>
      </c>
      <c r="D107">
        <f t="shared" si="6"/>
        <v>146.1754966887417</v>
      </c>
      <c r="E107" s="2"/>
      <c r="F107" s="2"/>
      <c r="G107" s="2"/>
      <c r="H107" s="2"/>
    </row>
    <row r="108" spans="1:10" x14ac:dyDescent="0.3">
      <c r="A108" s="5">
        <v>1.0631999999999999</v>
      </c>
      <c r="B108" s="5">
        <v>2648.7</v>
      </c>
      <c r="C108">
        <f t="shared" si="5"/>
        <v>3.3224999999999998E-2</v>
      </c>
      <c r="D108">
        <f t="shared" si="6"/>
        <v>146.1754966887417</v>
      </c>
      <c r="E108" s="2"/>
      <c r="F108" s="2"/>
      <c r="G108" s="2"/>
      <c r="H108" s="2"/>
    </row>
    <row r="109" spans="1:10" x14ac:dyDescent="0.3">
      <c r="A109" s="5">
        <v>1.0757000000000001</v>
      </c>
      <c r="B109" s="5">
        <v>2641.3</v>
      </c>
      <c r="C109">
        <f t="shared" si="5"/>
        <v>3.3615625000000003E-2</v>
      </c>
      <c r="D109">
        <f t="shared" si="6"/>
        <v>145.76710816777043</v>
      </c>
      <c r="E109" s="2"/>
      <c r="F109" s="2"/>
      <c r="G109" s="2"/>
      <c r="H109" s="2"/>
    </row>
    <row r="110" spans="1:10" x14ac:dyDescent="0.3">
      <c r="A110" s="5">
        <v>1.0888</v>
      </c>
      <c r="B110" s="5">
        <v>2637.7</v>
      </c>
      <c r="C110">
        <f t="shared" si="5"/>
        <v>3.4025E-2</v>
      </c>
      <c r="D110">
        <f t="shared" si="6"/>
        <v>145.56843267108167</v>
      </c>
      <c r="E110" s="2"/>
      <c r="F110" s="2"/>
      <c r="G110" s="2"/>
      <c r="H110" s="2"/>
    </row>
    <row r="111" spans="1:10" x14ac:dyDescent="0.3">
      <c r="A111" s="5">
        <v>1.1009</v>
      </c>
      <c r="B111" s="5">
        <v>2637.7</v>
      </c>
      <c r="C111">
        <f t="shared" si="5"/>
        <v>3.4403125E-2</v>
      </c>
      <c r="D111">
        <f t="shared" si="6"/>
        <v>145.56843267108167</v>
      </c>
      <c r="E111" s="2"/>
      <c r="F111" s="2"/>
      <c r="G111" s="2"/>
      <c r="H111" s="2"/>
    </row>
    <row r="112" spans="1:10" x14ac:dyDescent="0.3">
      <c r="A112" s="5">
        <v>1.1153999999999999</v>
      </c>
      <c r="B112" s="5">
        <v>2630.3</v>
      </c>
      <c r="C112">
        <f t="shared" si="5"/>
        <v>3.4856249999999998E-2</v>
      </c>
      <c r="D112">
        <f t="shared" si="6"/>
        <v>145.16004415011037</v>
      </c>
      <c r="E112" s="2"/>
      <c r="F112" s="2"/>
      <c r="G112" s="2"/>
      <c r="H112" s="2"/>
    </row>
    <row r="113" spans="1:8" x14ac:dyDescent="0.3">
      <c r="A113" s="5">
        <v>1.1279999999999999</v>
      </c>
      <c r="B113" s="5">
        <v>2626.6</v>
      </c>
      <c r="C113">
        <f t="shared" si="5"/>
        <v>3.5249999999999997E-2</v>
      </c>
      <c r="D113">
        <f t="shared" si="6"/>
        <v>144.95584988962472</v>
      </c>
      <c r="E113" s="2"/>
      <c r="F113" s="2"/>
      <c r="G113" s="2"/>
      <c r="H113" s="2"/>
    </row>
    <row r="114" spans="1:8" x14ac:dyDescent="0.3">
      <c r="A114" s="5">
        <v>1.1412</v>
      </c>
      <c r="B114" s="5">
        <v>2626.6</v>
      </c>
      <c r="C114">
        <f t="shared" si="5"/>
        <v>3.56625E-2</v>
      </c>
      <c r="D114">
        <f t="shared" si="6"/>
        <v>144.95584988962472</v>
      </c>
      <c r="E114" s="2"/>
      <c r="F114" s="2"/>
      <c r="G114" s="2"/>
      <c r="H114" s="2"/>
    </row>
    <row r="115" spans="1:8" x14ac:dyDescent="0.3">
      <c r="A115" s="5">
        <v>1.1537999999999999</v>
      </c>
      <c r="B115" s="5">
        <v>2622.9</v>
      </c>
      <c r="C115">
        <f t="shared" si="5"/>
        <v>3.6056249999999998E-2</v>
      </c>
      <c r="D115">
        <f t="shared" si="6"/>
        <v>144.75165562913907</v>
      </c>
      <c r="E115" s="2"/>
      <c r="F115" s="2"/>
      <c r="G115" s="2"/>
      <c r="H115" s="2"/>
    </row>
    <row r="116" spans="1:8" x14ac:dyDescent="0.3">
      <c r="A116" s="5">
        <v>1.1677</v>
      </c>
      <c r="B116" s="5">
        <v>2619.3000000000002</v>
      </c>
      <c r="C116">
        <f t="shared" si="5"/>
        <v>3.6490624999999999E-2</v>
      </c>
      <c r="D116">
        <f t="shared" si="6"/>
        <v>144.55298013245033</v>
      </c>
      <c r="E116" s="2"/>
      <c r="F116" s="2"/>
      <c r="G116" s="2"/>
      <c r="H116" s="2"/>
    </row>
    <row r="117" spans="1:8" x14ac:dyDescent="0.3">
      <c r="A117" s="5">
        <v>1.1803999999999999</v>
      </c>
      <c r="B117" s="5">
        <v>2615.6</v>
      </c>
      <c r="C117">
        <f t="shared" si="5"/>
        <v>3.6887499999999997E-2</v>
      </c>
      <c r="D117">
        <f t="shared" si="6"/>
        <v>144.34878587196468</v>
      </c>
      <c r="E117" s="2"/>
      <c r="F117" s="2"/>
      <c r="G117" s="2"/>
      <c r="H117" s="2"/>
    </row>
    <row r="118" spans="1:8" x14ac:dyDescent="0.3">
      <c r="A118" s="5">
        <v>1.1929000000000001</v>
      </c>
      <c r="B118" s="5">
        <v>2611.9</v>
      </c>
      <c r="C118">
        <f t="shared" si="5"/>
        <v>3.7278125000000002E-2</v>
      </c>
      <c r="D118">
        <f t="shared" si="6"/>
        <v>144.14459161147903</v>
      </c>
      <c r="E118" s="2"/>
      <c r="F118" s="2"/>
      <c r="G118" s="2"/>
      <c r="H118" s="2"/>
    </row>
    <row r="119" spans="1:8" x14ac:dyDescent="0.3">
      <c r="A119" s="5">
        <v>1.2054</v>
      </c>
      <c r="B119" s="5">
        <v>2608.1999999999998</v>
      </c>
      <c r="C119">
        <f t="shared" si="5"/>
        <v>3.7668750000000001E-2</v>
      </c>
      <c r="D119">
        <f t="shared" si="6"/>
        <v>143.94039735099335</v>
      </c>
      <c r="E119" s="2"/>
      <c r="F119" s="2"/>
      <c r="G119" s="2"/>
      <c r="H119" s="2"/>
    </row>
    <row r="120" spans="1:8" x14ac:dyDescent="0.3">
      <c r="A120" s="5">
        <v>1.218</v>
      </c>
      <c r="B120" s="5">
        <v>2604.6</v>
      </c>
      <c r="C120">
        <f t="shared" si="5"/>
        <v>3.8062499999999999E-2</v>
      </c>
      <c r="D120">
        <f t="shared" si="6"/>
        <v>143.74172185430461</v>
      </c>
      <c r="E120" s="2"/>
      <c r="F120" s="2"/>
      <c r="G120" s="2"/>
      <c r="H120" s="2"/>
    </row>
    <row r="121" spans="1:8" x14ac:dyDescent="0.3">
      <c r="A121" s="5">
        <v>1.2323</v>
      </c>
      <c r="B121" s="5">
        <v>2600.9</v>
      </c>
      <c r="C121">
        <f t="shared" si="5"/>
        <v>3.8509374999999998E-2</v>
      </c>
      <c r="D121">
        <f t="shared" si="6"/>
        <v>143.53752759381899</v>
      </c>
      <c r="E121" s="2"/>
      <c r="F121" s="2"/>
      <c r="G121" s="2"/>
      <c r="H121" s="2"/>
    </row>
    <row r="122" spans="1:8" x14ac:dyDescent="0.3">
      <c r="A122" s="5">
        <v>1.2453000000000001</v>
      </c>
      <c r="B122" s="5">
        <v>2597.1999999999998</v>
      </c>
      <c r="C122">
        <f t="shared" si="5"/>
        <v>3.8915625000000002E-2</v>
      </c>
      <c r="D122">
        <f t="shared" si="6"/>
        <v>143.33333333333331</v>
      </c>
      <c r="E122" s="2"/>
      <c r="F122" s="2"/>
      <c r="G122" s="2"/>
      <c r="H122" s="2"/>
    </row>
    <row r="123" spans="1:8" x14ac:dyDescent="0.3">
      <c r="A123" s="5">
        <v>1.2578</v>
      </c>
      <c r="B123" s="5">
        <v>2593.5</v>
      </c>
      <c r="C123">
        <f t="shared" si="5"/>
        <v>3.9306250000000001E-2</v>
      </c>
      <c r="D123">
        <f t="shared" si="6"/>
        <v>143.12913907284766</v>
      </c>
      <c r="E123" s="2"/>
      <c r="F123" s="2"/>
      <c r="G123" s="2"/>
      <c r="H123" s="2"/>
    </row>
    <row r="124" spans="1:8" x14ac:dyDescent="0.3">
      <c r="A124" s="5">
        <v>1.2704</v>
      </c>
      <c r="B124" s="5">
        <v>2589.8000000000002</v>
      </c>
      <c r="C124">
        <f t="shared" si="5"/>
        <v>3.9699999999999999E-2</v>
      </c>
      <c r="D124">
        <f t="shared" si="6"/>
        <v>142.92494481236204</v>
      </c>
      <c r="E124" s="2"/>
      <c r="F124" s="2"/>
      <c r="G124" s="2"/>
      <c r="H124" s="2"/>
    </row>
    <row r="125" spans="1:8" x14ac:dyDescent="0.3">
      <c r="A125" s="5">
        <v>1.2830999999999999</v>
      </c>
      <c r="B125" s="5">
        <v>2586.1999999999998</v>
      </c>
      <c r="C125">
        <f t="shared" si="5"/>
        <v>4.0096874999999997E-2</v>
      </c>
      <c r="D125">
        <f t="shared" si="6"/>
        <v>142.72626931567328</v>
      </c>
      <c r="E125" s="2"/>
      <c r="F125" s="2"/>
      <c r="G125" s="2"/>
      <c r="H125" s="2"/>
    </row>
    <row r="126" spans="1:8" x14ac:dyDescent="0.3">
      <c r="A126" s="5">
        <v>1.2974000000000001</v>
      </c>
      <c r="B126" s="5">
        <v>2582.5</v>
      </c>
      <c r="C126">
        <f t="shared" si="5"/>
        <v>4.0543750000000003E-2</v>
      </c>
      <c r="D126">
        <f t="shared" si="6"/>
        <v>142.52207505518763</v>
      </c>
      <c r="E126" s="2"/>
      <c r="F126" s="2"/>
      <c r="G126" s="2"/>
      <c r="H126" s="2"/>
    </row>
    <row r="127" spans="1:8" x14ac:dyDescent="0.3">
      <c r="A127" s="5">
        <v>1.31</v>
      </c>
      <c r="B127" s="5">
        <v>2578.8000000000002</v>
      </c>
      <c r="C127">
        <f t="shared" si="5"/>
        <v>4.0937500000000002E-2</v>
      </c>
      <c r="D127">
        <f t="shared" si="6"/>
        <v>142.31788079470198</v>
      </c>
      <c r="E127" s="2"/>
      <c r="F127" s="2"/>
      <c r="G127" s="2"/>
      <c r="H127" s="2"/>
    </row>
    <row r="128" spans="1:8" x14ac:dyDescent="0.3">
      <c r="A128" s="5">
        <v>1.3228</v>
      </c>
      <c r="B128" s="5">
        <v>2575.1</v>
      </c>
      <c r="C128">
        <f t="shared" si="5"/>
        <v>4.1337499999999999E-2</v>
      </c>
      <c r="D128">
        <f t="shared" si="6"/>
        <v>142.11368653421633</v>
      </c>
      <c r="E128" s="2"/>
      <c r="F128" s="2"/>
      <c r="G128" s="2"/>
      <c r="H128" s="2"/>
    </row>
    <row r="129" spans="1:8" x14ac:dyDescent="0.3">
      <c r="A129" s="5">
        <v>1.3354999999999999</v>
      </c>
      <c r="B129" s="5">
        <v>2571.4</v>
      </c>
      <c r="C129">
        <f t="shared" si="5"/>
        <v>4.1734374999999997E-2</v>
      </c>
      <c r="D129">
        <f t="shared" si="6"/>
        <v>141.90949227373068</v>
      </c>
      <c r="E129" s="2"/>
      <c r="F129" s="2"/>
      <c r="G129" s="2"/>
      <c r="H129" s="2"/>
    </row>
    <row r="130" spans="1:8" x14ac:dyDescent="0.3">
      <c r="A130" s="5">
        <v>1.3499000000000001</v>
      </c>
      <c r="B130" s="5">
        <v>2567.8000000000002</v>
      </c>
      <c r="C130">
        <f t="shared" si="5"/>
        <v>4.2184375000000003E-2</v>
      </c>
      <c r="D130">
        <f t="shared" si="6"/>
        <v>141.71081677704194</v>
      </c>
      <c r="E130" s="2"/>
      <c r="F130" s="2"/>
      <c r="G130" s="2"/>
      <c r="H130" s="2"/>
    </row>
    <row r="131" spans="1:8" x14ac:dyDescent="0.3">
      <c r="A131" s="5">
        <v>1.3625</v>
      </c>
      <c r="B131" s="5">
        <v>2564.1</v>
      </c>
      <c r="C131">
        <f t="shared" si="5"/>
        <v>4.2578125000000001E-2</v>
      </c>
      <c r="D131">
        <f t="shared" si="6"/>
        <v>141.50662251655629</v>
      </c>
      <c r="E131" s="2"/>
      <c r="F131" s="2"/>
      <c r="G131" s="2"/>
      <c r="H131" s="2"/>
    </row>
    <row r="132" spans="1:8" x14ac:dyDescent="0.3">
      <c r="A132" s="5">
        <v>1.375</v>
      </c>
      <c r="B132" s="5">
        <v>2560.4</v>
      </c>
      <c r="C132">
        <f t="shared" si="5"/>
        <v>4.296875E-2</v>
      </c>
      <c r="D132">
        <f t="shared" si="6"/>
        <v>141.30242825607064</v>
      </c>
      <c r="E132" s="2"/>
      <c r="F132" s="2"/>
      <c r="G132" s="2"/>
      <c r="H132" s="2"/>
    </row>
    <row r="133" spans="1:8" x14ac:dyDescent="0.3">
      <c r="A133" s="5">
        <v>1.3875999999999999</v>
      </c>
      <c r="B133" s="5">
        <v>2556.6999999999998</v>
      </c>
      <c r="C133">
        <f t="shared" si="5"/>
        <v>4.3362499999999998E-2</v>
      </c>
      <c r="D133">
        <f t="shared" si="6"/>
        <v>141.09823399558496</v>
      </c>
      <c r="E133" s="2"/>
      <c r="F133" s="2"/>
      <c r="G133" s="2"/>
      <c r="H133" s="2"/>
    </row>
    <row r="134" spans="1:8" x14ac:dyDescent="0.3">
      <c r="A134" s="5">
        <v>1.4003000000000001</v>
      </c>
      <c r="B134" s="5">
        <v>2553.1</v>
      </c>
      <c r="C134">
        <f t="shared" si="5"/>
        <v>4.3759375000000003E-2</v>
      </c>
      <c r="D134">
        <f t="shared" si="6"/>
        <v>140.89955849889623</v>
      </c>
      <c r="E134" s="2"/>
      <c r="F134" s="2"/>
      <c r="G134" s="2"/>
      <c r="H134" s="2"/>
    </row>
    <row r="135" spans="1:8" x14ac:dyDescent="0.3">
      <c r="A135" s="5">
        <v>1.4146000000000001</v>
      </c>
      <c r="B135" s="5">
        <v>2549.4</v>
      </c>
      <c r="C135">
        <f t="shared" si="5"/>
        <v>4.4206250000000002E-2</v>
      </c>
      <c r="D135">
        <f t="shared" si="6"/>
        <v>140.6953642384106</v>
      </c>
      <c r="E135" s="2"/>
      <c r="F135" s="2"/>
      <c r="G135" s="2"/>
      <c r="H135" s="2"/>
    </row>
    <row r="136" spans="1:8" x14ac:dyDescent="0.3">
      <c r="A136" s="5">
        <v>1.4274</v>
      </c>
      <c r="B136" s="5">
        <v>2545.6999999999998</v>
      </c>
      <c r="C136">
        <f t="shared" si="5"/>
        <v>4.460625E-2</v>
      </c>
      <c r="D136">
        <f t="shared" si="6"/>
        <v>140.49116997792493</v>
      </c>
      <c r="E136" s="2"/>
      <c r="F136" s="2"/>
      <c r="G136" s="2"/>
      <c r="H136" s="2"/>
    </row>
    <row r="137" spans="1:8" x14ac:dyDescent="0.3">
      <c r="A137" s="5">
        <v>1.4399</v>
      </c>
      <c r="B137" s="5">
        <v>2542</v>
      </c>
      <c r="C137">
        <f t="shared" si="5"/>
        <v>4.4996874999999999E-2</v>
      </c>
      <c r="D137">
        <f t="shared" si="6"/>
        <v>140.28697571743928</v>
      </c>
      <c r="E137" s="2"/>
      <c r="F137" s="2"/>
      <c r="G137" s="2"/>
      <c r="H137" s="2"/>
    </row>
    <row r="138" spans="1:8" x14ac:dyDescent="0.3">
      <c r="A138" s="5">
        <v>1.4531000000000001</v>
      </c>
      <c r="B138" s="5">
        <v>2534.6999999999998</v>
      </c>
      <c r="C138">
        <f t="shared" si="5"/>
        <v>4.5409375000000002E-2</v>
      </c>
      <c r="D138">
        <f t="shared" si="6"/>
        <v>139.88410596026489</v>
      </c>
      <c r="E138" s="2"/>
      <c r="F138" s="2"/>
      <c r="G138" s="2"/>
      <c r="H138" s="2"/>
    </row>
    <row r="139" spans="1:8" x14ac:dyDescent="0.3">
      <c r="A139" s="5">
        <v>1.4656</v>
      </c>
      <c r="B139" s="5">
        <v>2531</v>
      </c>
      <c r="C139">
        <f t="shared" si="5"/>
        <v>4.58E-2</v>
      </c>
      <c r="D139">
        <f t="shared" si="6"/>
        <v>139.67991169977924</v>
      </c>
      <c r="E139" s="2"/>
      <c r="F139" s="2"/>
      <c r="G139" s="2"/>
      <c r="H139" s="2"/>
    </row>
    <row r="140" spans="1:8" x14ac:dyDescent="0.3">
      <c r="A140" s="5">
        <v>1.48</v>
      </c>
      <c r="B140" s="5">
        <v>2527.3000000000002</v>
      </c>
      <c r="C140">
        <f t="shared" si="5"/>
        <v>4.6249999999999999E-2</v>
      </c>
      <c r="D140">
        <f t="shared" si="6"/>
        <v>139.47571743929359</v>
      </c>
      <c r="E140" s="2"/>
      <c r="F140" s="2"/>
      <c r="G140" s="2"/>
      <c r="H140" s="2"/>
    </row>
    <row r="141" spans="1:8" x14ac:dyDescent="0.3">
      <c r="A141" s="5">
        <v>1.4923999999999999</v>
      </c>
      <c r="B141" s="5">
        <v>2523.6</v>
      </c>
      <c r="C141">
        <f t="shared" si="5"/>
        <v>4.6637499999999998E-2</v>
      </c>
      <c r="D141">
        <f t="shared" si="6"/>
        <v>139.27152317880794</v>
      </c>
      <c r="E141" s="2"/>
      <c r="F141" s="2"/>
      <c r="G141" s="2"/>
      <c r="H141" s="2"/>
    </row>
    <row r="142" spans="1:8" x14ac:dyDescent="0.3">
      <c r="A142" s="5">
        <v>1.5054000000000001</v>
      </c>
      <c r="B142" s="5">
        <v>2519.9</v>
      </c>
      <c r="C142">
        <f t="shared" si="5"/>
        <v>4.7043750000000002E-2</v>
      </c>
      <c r="D142">
        <f t="shared" si="6"/>
        <v>139.06732891832229</v>
      </c>
      <c r="E142" s="2"/>
      <c r="F142" s="2"/>
      <c r="G142" s="2"/>
      <c r="H142" s="2"/>
    </row>
    <row r="143" spans="1:8" x14ac:dyDescent="0.3">
      <c r="A143" s="5">
        <v>1.5178</v>
      </c>
      <c r="B143" s="5">
        <v>2512.6</v>
      </c>
      <c r="C143">
        <f t="shared" si="5"/>
        <v>4.7431250000000001E-2</v>
      </c>
      <c r="D143">
        <f t="shared" si="6"/>
        <v>138.6644591611479</v>
      </c>
      <c r="E143" s="2"/>
      <c r="F143" s="2"/>
      <c r="G143" s="2"/>
      <c r="H143" s="2"/>
    </row>
    <row r="144" spans="1:8" x14ac:dyDescent="0.3">
      <c r="A144" s="5">
        <v>1.5318000000000001</v>
      </c>
      <c r="B144" s="5">
        <v>2505.1999999999998</v>
      </c>
      <c r="C144">
        <f t="shared" si="5"/>
        <v>4.7868750000000002E-2</v>
      </c>
      <c r="D144">
        <f t="shared" si="6"/>
        <v>138.25607064017657</v>
      </c>
      <c r="E144" s="2"/>
      <c r="F144" s="2"/>
      <c r="G144" s="2"/>
      <c r="H144" s="2"/>
    </row>
    <row r="145" spans="1:8" x14ac:dyDescent="0.3">
      <c r="A145" s="5">
        <v>1.5448</v>
      </c>
      <c r="B145" s="5">
        <v>2497.9</v>
      </c>
      <c r="C145">
        <f t="shared" si="5"/>
        <v>4.8274999999999998E-2</v>
      </c>
      <c r="D145">
        <f t="shared" si="6"/>
        <v>137.85320088300222</v>
      </c>
      <c r="E145" s="2"/>
      <c r="F145" s="2"/>
      <c r="G145" s="2"/>
      <c r="H145" s="2"/>
    </row>
    <row r="146" spans="1:8" x14ac:dyDescent="0.3">
      <c r="A146" s="5">
        <v>1.5572999999999999</v>
      </c>
      <c r="B146" s="5">
        <v>2494.1999999999998</v>
      </c>
      <c r="C146">
        <f t="shared" si="5"/>
        <v>4.8665624999999997E-2</v>
      </c>
      <c r="D146">
        <f t="shared" si="6"/>
        <v>137.64900662251654</v>
      </c>
      <c r="E146" s="2"/>
      <c r="F146" s="2"/>
      <c r="G146" s="2"/>
      <c r="H146" s="2"/>
    </row>
    <row r="147" spans="1:8" x14ac:dyDescent="0.3">
      <c r="A147" s="5">
        <v>1.5702</v>
      </c>
      <c r="B147" s="5">
        <v>2486.8000000000002</v>
      </c>
      <c r="C147">
        <f t="shared" si="5"/>
        <v>4.9068750000000001E-2</v>
      </c>
      <c r="D147">
        <f t="shared" si="6"/>
        <v>137.24061810154527</v>
      </c>
      <c r="E147" s="2"/>
      <c r="F147" s="2"/>
      <c r="G147" s="2"/>
      <c r="H147" s="2"/>
    </row>
    <row r="148" spans="1:8" x14ac:dyDescent="0.3">
      <c r="A148" s="5">
        <v>1.5827</v>
      </c>
      <c r="B148" s="5">
        <v>2483.1999999999998</v>
      </c>
      <c r="C148">
        <f t="shared" si="5"/>
        <v>4.9459375E-2</v>
      </c>
      <c r="D148">
        <f t="shared" si="6"/>
        <v>137.0419426048565</v>
      </c>
      <c r="E148" s="2"/>
      <c r="F148" s="2"/>
      <c r="G148" s="2"/>
      <c r="H148" s="2"/>
    </row>
    <row r="149" spans="1:8" x14ac:dyDescent="0.3">
      <c r="A149" s="5">
        <v>1.5971</v>
      </c>
      <c r="B149" s="5">
        <v>2479.5</v>
      </c>
      <c r="C149">
        <f t="shared" si="5"/>
        <v>4.9909374999999999E-2</v>
      </c>
      <c r="D149">
        <f t="shared" si="6"/>
        <v>136.83774834437085</v>
      </c>
      <c r="E149" s="2"/>
      <c r="F149" s="2"/>
      <c r="G149" s="2"/>
      <c r="H149" s="2"/>
    </row>
    <row r="150" spans="1:8" x14ac:dyDescent="0.3">
      <c r="A150" s="5">
        <v>1.6096999999999999</v>
      </c>
      <c r="B150" s="5">
        <v>2472.1</v>
      </c>
      <c r="C150">
        <f t="shared" si="5"/>
        <v>5.0303124999999997E-2</v>
      </c>
      <c r="D150">
        <f t="shared" si="6"/>
        <v>136.42935982339955</v>
      </c>
      <c r="E150" s="2"/>
      <c r="F150" s="2"/>
      <c r="G150" s="2"/>
      <c r="H150" s="2"/>
    </row>
    <row r="151" spans="1:8" x14ac:dyDescent="0.3">
      <c r="A151" s="5">
        <v>1.6222000000000001</v>
      </c>
      <c r="B151" s="5">
        <v>2468.4</v>
      </c>
      <c r="C151">
        <f t="shared" si="5"/>
        <v>5.0693750000000003E-2</v>
      </c>
      <c r="D151">
        <f t="shared" si="6"/>
        <v>136.2251655629139</v>
      </c>
      <c r="E151" s="2"/>
      <c r="F151" s="2"/>
      <c r="G151" s="2"/>
      <c r="H151" s="2"/>
    </row>
    <row r="152" spans="1:8" x14ac:dyDescent="0.3">
      <c r="A152" s="5">
        <v>1.635</v>
      </c>
      <c r="B152" s="5">
        <v>2464.8000000000002</v>
      </c>
      <c r="C152">
        <f t="shared" si="5"/>
        <v>5.109375E-2</v>
      </c>
      <c r="D152">
        <f t="shared" si="6"/>
        <v>136.02649006622516</v>
      </c>
      <c r="E152" s="2"/>
      <c r="F152" s="2"/>
      <c r="G152" s="2"/>
      <c r="H152" s="2"/>
    </row>
    <row r="153" spans="1:8" x14ac:dyDescent="0.3">
      <c r="A153" s="5">
        <v>1.6494</v>
      </c>
      <c r="B153" s="5">
        <v>2457.4</v>
      </c>
      <c r="C153">
        <f t="shared" ref="C153:C216" si="9">A153/32</f>
        <v>5.1543749999999999E-2</v>
      </c>
      <c r="D153">
        <f t="shared" ref="D153:D216" si="10">B153/(3*6.04)</f>
        <v>135.61810154525386</v>
      </c>
      <c r="E153" s="2"/>
      <c r="F153" s="2"/>
      <c r="G153" s="2"/>
      <c r="H153" s="2"/>
    </row>
    <row r="154" spans="1:8" x14ac:dyDescent="0.3">
      <c r="A154" s="5">
        <v>1.6620999999999999</v>
      </c>
      <c r="B154" s="5">
        <v>2453.6999999999998</v>
      </c>
      <c r="C154">
        <f t="shared" si="9"/>
        <v>5.1940624999999997E-2</v>
      </c>
      <c r="D154">
        <f t="shared" si="10"/>
        <v>135.41390728476819</v>
      </c>
      <c r="E154" s="2"/>
      <c r="F154" s="2"/>
      <c r="G154" s="2"/>
      <c r="H154" s="2"/>
    </row>
    <row r="155" spans="1:8" x14ac:dyDescent="0.3">
      <c r="A155" s="5">
        <v>1.6747000000000001</v>
      </c>
      <c r="B155" s="5">
        <v>2450</v>
      </c>
      <c r="C155">
        <f t="shared" si="9"/>
        <v>5.2334375000000002E-2</v>
      </c>
      <c r="D155">
        <f t="shared" si="10"/>
        <v>135.20971302428256</v>
      </c>
      <c r="E155" s="2"/>
      <c r="F155" s="2"/>
      <c r="G155" s="2"/>
      <c r="H155" s="2"/>
    </row>
    <row r="156" spans="1:8" x14ac:dyDescent="0.3">
      <c r="A156" s="5">
        <v>1.6877</v>
      </c>
      <c r="B156" s="5">
        <v>2442.6999999999998</v>
      </c>
      <c r="C156">
        <f t="shared" si="9"/>
        <v>5.2740624999999999E-2</v>
      </c>
      <c r="D156">
        <f t="shared" si="10"/>
        <v>134.80684326710815</v>
      </c>
      <c r="E156" s="2"/>
      <c r="F156" s="2"/>
      <c r="G156" s="2"/>
      <c r="H156" s="2"/>
    </row>
    <row r="157" spans="1:8" x14ac:dyDescent="0.3">
      <c r="A157" s="5">
        <v>1.7001999999999999</v>
      </c>
      <c r="B157" s="5">
        <v>2439</v>
      </c>
      <c r="C157">
        <f t="shared" si="9"/>
        <v>5.3131249999999998E-2</v>
      </c>
      <c r="D157">
        <f t="shared" si="10"/>
        <v>134.6026490066225</v>
      </c>
      <c r="E157" s="2"/>
      <c r="F157" s="2"/>
      <c r="G157" s="2"/>
      <c r="H157" s="2"/>
    </row>
    <row r="158" spans="1:8" x14ac:dyDescent="0.3">
      <c r="A158" s="5">
        <v>1.7143999999999999</v>
      </c>
      <c r="B158" s="5">
        <v>2431.6999999999998</v>
      </c>
      <c r="C158">
        <f t="shared" si="9"/>
        <v>5.3574999999999998E-2</v>
      </c>
      <c r="D158">
        <f t="shared" si="10"/>
        <v>134.19977924944811</v>
      </c>
      <c r="E158" s="2"/>
      <c r="F158" s="2"/>
      <c r="G158" s="2"/>
      <c r="H158" s="2"/>
    </row>
    <row r="159" spans="1:8" x14ac:dyDescent="0.3">
      <c r="A159" s="5">
        <v>1.7270000000000001</v>
      </c>
      <c r="B159" s="5">
        <v>2428</v>
      </c>
      <c r="C159">
        <f t="shared" si="9"/>
        <v>5.3968750000000003E-2</v>
      </c>
      <c r="D159">
        <f t="shared" si="10"/>
        <v>133.99558498896246</v>
      </c>
      <c r="E159" s="2"/>
      <c r="F159" s="2"/>
      <c r="G159" s="2"/>
      <c r="H159" s="2"/>
    </row>
    <row r="160" spans="1:8" x14ac:dyDescent="0.3">
      <c r="A160" s="5">
        <v>1.7394000000000001</v>
      </c>
      <c r="B160" s="5">
        <v>2420.6</v>
      </c>
      <c r="C160">
        <f t="shared" si="9"/>
        <v>5.4356250000000002E-2</v>
      </c>
      <c r="D160">
        <f t="shared" si="10"/>
        <v>133.58719646799116</v>
      </c>
      <c r="E160" s="2"/>
      <c r="F160" s="2"/>
      <c r="G160" s="2"/>
      <c r="H160" s="2"/>
    </row>
    <row r="161" spans="1:8" x14ac:dyDescent="0.3">
      <c r="A161" s="5">
        <v>1.7523</v>
      </c>
      <c r="B161" s="5">
        <v>2416.9</v>
      </c>
      <c r="C161">
        <f t="shared" si="9"/>
        <v>5.4759374999999999E-2</v>
      </c>
      <c r="D161">
        <f t="shared" si="10"/>
        <v>133.38300220750551</v>
      </c>
      <c r="E161" s="2"/>
      <c r="F161" s="2"/>
      <c r="G161" s="2"/>
      <c r="H161" s="2"/>
    </row>
    <row r="162" spans="1:8" x14ac:dyDescent="0.3">
      <c r="A162" s="5">
        <v>1.7649999999999999</v>
      </c>
      <c r="B162" s="5">
        <v>2413.3000000000002</v>
      </c>
      <c r="C162">
        <f t="shared" si="9"/>
        <v>5.5156249999999997E-2</v>
      </c>
      <c r="D162">
        <f t="shared" si="10"/>
        <v>133.18432671081678</v>
      </c>
      <c r="E162" s="2"/>
      <c r="F162" s="2"/>
      <c r="G162" s="2"/>
      <c r="H162" s="2"/>
    </row>
    <row r="163" spans="1:8" x14ac:dyDescent="0.3">
      <c r="A163" s="5">
        <v>1.7791999999999999</v>
      </c>
      <c r="B163" s="5">
        <v>2405.9</v>
      </c>
      <c r="C163">
        <f t="shared" si="9"/>
        <v>5.5599999999999997E-2</v>
      </c>
      <c r="D163">
        <f t="shared" si="10"/>
        <v>132.77593818984548</v>
      </c>
      <c r="E163" s="2"/>
      <c r="F163" s="2"/>
      <c r="G163" s="2"/>
      <c r="H163" s="2"/>
    </row>
    <row r="164" spans="1:8" x14ac:dyDescent="0.3">
      <c r="A164" s="5">
        <v>1.7919</v>
      </c>
      <c r="B164" s="5">
        <v>2398.5</v>
      </c>
      <c r="C164">
        <f t="shared" si="9"/>
        <v>5.5996875000000002E-2</v>
      </c>
      <c r="D164">
        <f t="shared" si="10"/>
        <v>132.36754966887418</v>
      </c>
      <c r="E164" s="2"/>
      <c r="F164" s="2"/>
      <c r="G164" s="2"/>
      <c r="H164" s="2"/>
    </row>
    <row r="165" spans="1:8" x14ac:dyDescent="0.3">
      <c r="A165" s="5">
        <v>1.8046</v>
      </c>
      <c r="B165" s="5">
        <v>2394.9</v>
      </c>
      <c r="C165">
        <f t="shared" si="9"/>
        <v>5.6393749999999999E-2</v>
      </c>
      <c r="D165">
        <f t="shared" si="10"/>
        <v>132.16887417218544</v>
      </c>
      <c r="E165" s="2"/>
      <c r="F165" s="2"/>
      <c r="G165" s="2"/>
      <c r="H165" s="2"/>
    </row>
    <row r="166" spans="1:8" x14ac:dyDescent="0.3">
      <c r="A166" s="5">
        <v>1.8172999999999999</v>
      </c>
      <c r="B166" s="5">
        <v>2391.1999999999998</v>
      </c>
      <c r="C166">
        <f t="shared" si="9"/>
        <v>5.6790624999999997E-2</v>
      </c>
      <c r="D166">
        <f t="shared" si="10"/>
        <v>131.96467991169976</v>
      </c>
      <c r="E166" s="2"/>
      <c r="F166" s="2"/>
      <c r="G166" s="2"/>
      <c r="H166" s="2"/>
    </row>
    <row r="167" spans="1:8" x14ac:dyDescent="0.3">
      <c r="A167" s="5">
        <v>1.8314999999999999</v>
      </c>
      <c r="B167" s="5">
        <v>2383.8000000000002</v>
      </c>
      <c r="C167">
        <f t="shared" si="9"/>
        <v>5.7234374999999997E-2</v>
      </c>
      <c r="D167">
        <f t="shared" si="10"/>
        <v>131.55629139072849</v>
      </c>
      <c r="E167" s="2"/>
      <c r="F167" s="2"/>
      <c r="G167" s="2"/>
      <c r="H167" s="2"/>
    </row>
    <row r="168" spans="1:8" x14ac:dyDescent="0.3">
      <c r="A168" s="5">
        <v>1.8441000000000001</v>
      </c>
      <c r="B168" s="5">
        <v>2380.1999999999998</v>
      </c>
      <c r="C168">
        <f t="shared" si="9"/>
        <v>5.7628125000000002E-2</v>
      </c>
      <c r="D168">
        <f t="shared" si="10"/>
        <v>131.35761589403972</v>
      </c>
      <c r="E168" s="2"/>
      <c r="F168" s="2"/>
      <c r="G168" s="2"/>
      <c r="H168" s="2"/>
    </row>
    <row r="169" spans="1:8" x14ac:dyDescent="0.3">
      <c r="A169" s="5">
        <v>1.857</v>
      </c>
      <c r="B169" s="5">
        <v>2372.8000000000002</v>
      </c>
      <c r="C169">
        <f t="shared" si="9"/>
        <v>5.803125E-2</v>
      </c>
      <c r="D169">
        <f t="shared" si="10"/>
        <v>130.94922737306842</v>
      </c>
      <c r="E169" s="2"/>
      <c r="F169" s="2"/>
      <c r="G169" s="2"/>
      <c r="H169" s="2"/>
    </row>
    <row r="170" spans="1:8" x14ac:dyDescent="0.3">
      <c r="A170" s="5">
        <v>1.8695999999999999</v>
      </c>
      <c r="B170" s="5">
        <v>2369.1</v>
      </c>
      <c r="C170">
        <f t="shared" si="9"/>
        <v>5.8424999999999998E-2</v>
      </c>
      <c r="D170">
        <f t="shared" si="10"/>
        <v>130.74503311258277</v>
      </c>
      <c r="E170" s="2"/>
      <c r="F170" s="2"/>
      <c r="G170" s="2"/>
      <c r="H170" s="2"/>
    </row>
    <row r="171" spans="1:8" x14ac:dyDescent="0.3">
      <c r="A171" s="5">
        <v>1.8821000000000001</v>
      </c>
      <c r="B171" s="5">
        <v>2361.8000000000002</v>
      </c>
      <c r="C171">
        <f t="shared" si="9"/>
        <v>5.8815625000000003E-2</v>
      </c>
      <c r="D171">
        <f t="shared" si="10"/>
        <v>130.34216335540839</v>
      </c>
      <c r="E171" s="2"/>
      <c r="F171" s="2"/>
      <c r="G171" s="2"/>
      <c r="H171" s="2"/>
    </row>
    <row r="172" spans="1:8" x14ac:dyDescent="0.3">
      <c r="A172" s="5">
        <v>1.8965000000000001</v>
      </c>
      <c r="B172" s="5">
        <v>2354.4</v>
      </c>
      <c r="C172">
        <f t="shared" si="9"/>
        <v>5.9265625000000002E-2</v>
      </c>
      <c r="D172">
        <f t="shared" si="10"/>
        <v>129.93377483443709</v>
      </c>
      <c r="E172" s="2"/>
      <c r="F172" s="2"/>
      <c r="G172" s="2"/>
      <c r="H172" s="2"/>
    </row>
    <row r="173" spans="1:8" x14ac:dyDescent="0.3">
      <c r="A173" s="5">
        <v>1.909</v>
      </c>
      <c r="B173" s="5">
        <v>2347</v>
      </c>
      <c r="C173">
        <f t="shared" si="9"/>
        <v>5.9656250000000001E-2</v>
      </c>
      <c r="D173">
        <f t="shared" si="10"/>
        <v>129.52538631346579</v>
      </c>
      <c r="E173" s="2"/>
      <c r="F173" s="2"/>
      <c r="G173" s="2"/>
      <c r="H173" s="2"/>
    </row>
    <row r="174" spans="1:8" x14ac:dyDescent="0.3">
      <c r="A174" s="5">
        <v>1.9220999999999999</v>
      </c>
      <c r="B174" s="5">
        <v>2343.4</v>
      </c>
      <c r="C174">
        <f t="shared" si="9"/>
        <v>6.0065624999999997E-2</v>
      </c>
      <c r="D174">
        <f t="shared" si="10"/>
        <v>129.32671081677705</v>
      </c>
      <c r="E174" s="2"/>
      <c r="F174" s="2"/>
      <c r="G174" s="2"/>
      <c r="H174" s="2"/>
    </row>
    <row r="175" spans="1:8" x14ac:dyDescent="0.3">
      <c r="A175" s="5">
        <v>1.9343999999999999</v>
      </c>
      <c r="B175" s="5">
        <v>2336</v>
      </c>
      <c r="C175">
        <f t="shared" si="9"/>
        <v>6.0449999999999997E-2</v>
      </c>
      <c r="D175">
        <f t="shared" si="10"/>
        <v>128.91832229580572</v>
      </c>
      <c r="E175" s="2"/>
      <c r="F175" s="2"/>
      <c r="G175" s="2"/>
      <c r="H175" s="2"/>
    </row>
    <row r="176" spans="1:8" x14ac:dyDescent="0.3">
      <c r="A176" s="5">
        <v>1.9491000000000001</v>
      </c>
      <c r="B176" s="5">
        <v>2328.6</v>
      </c>
      <c r="C176">
        <f t="shared" si="9"/>
        <v>6.0909375000000002E-2</v>
      </c>
      <c r="D176">
        <f t="shared" si="10"/>
        <v>128.50993377483442</v>
      </c>
      <c r="E176" s="2"/>
      <c r="F176" s="2"/>
      <c r="G176" s="2"/>
      <c r="H176" s="2"/>
    </row>
    <row r="177" spans="1:8" x14ac:dyDescent="0.3">
      <c r="A177" s="5">
        <v>1.9615</v>
      </c>
      <c r="B177" s="5">
        <v>2325</v>
      </c>
      <c r="C177">
        <f t="shared" si="9"/>
        <v>6.1296875000000001E-2</v>
      </c>
      <c r="D177">
        <f t="shared" si="10"/>
        <v>128.31125827814569</v>
      </c>
      <c r="E177" s="2"/>
      <c r="F177" s="2"/>
      <c r="G177" s="2"/>
      <c r="H177" s="2"/>
    </row>
    <row r="178" spans="1:8" x14ac:dyDescent="0.3">
      <c r="A178" s="5">
        <v>1.9742</v>
      </c>
      <c r="B178" s="5">
        <v>2317.6</v>
      </c>
      <c r="C178">
        <f t="shared" si="9"/>
        <v>6.1693749999999999E-2</v>
      </c>
      <c r="D178">
        <f t="shared" si="10"/>
        <v>127.90286975717439</v>
      </c>
      <c r="E178" s="2"/>
      <c r="F178" s="2"/>
      <c r="G178" s="2"/>
      <c r="H178" s="2"/>
    </row>
    <row r="179" spans="1:8" x14ac:dyDescent="0.3">
      <c r="A179" s="5">
        <v>1.9870000000000001</v>
      </c>
      <c r="B179" s="5">
        <v>2313.9</v>
      </c>
      <c r="C179">
        <f t="shared" si="9"/>
        <v>6.2093750000000003E-2</v>
      </c>
      <c r="D179">
        <f t="shared" si="10"/>
        <v>127.69867549668874</v>
      </c>
      <c r="E179" s="2"/>
      <c r="F179" s="2"/>
      <c r="G179" s="2"/>
      <c r="H179" s="2"/>
    </row>
    <row r="180" spans="1:8" x14ac:dyDescent="0.3">
      <c r="A180" s="5">
        <v>1.9996</v>
      </c>
      <c r="B180" s="5">
        <v>2306.6</v>
      </c>
      <c r="C180">
        <f t="shared" si="9"/>
        <v>6.2487500000000001E-2</v>
      </c>
      <c r="D180">
        <f t="shared" si="10"/>
        <v>127.29580573951434</v>
      </c>
      <c r="E180" s="2"/>
      <c r="F180" s="2"/>
      <c r="G180" s="2"/>
      <c r="H180" s="2"/>
    </row>
    <row r="181" spans="1:8" x14ac:dyDescent="0.3">
      <c r="A181" s="5">
        <v>2.0143</v>
      </c>
      <c r="B181" s="5">
        <v>2295.5</v>
      </c>
      <c r="C181">
        <f t="shared" si="9"/>
        <v>6.2946874999999999E-2</v>
      </c>
      <c r="D181">
        <f t="shared" si="10"/>
        <v>126.68322295805739</v>
      </c>
      <c r="E181" s="2"/>
      <c r="F181" s="2"/>
      <c r="G181" s="2"/>
      <c r="H181" s="2"/>
    </row>
    <row r="182" spans="1:8" x14ac:dyDescent="0.3">
      <c r="A182" s="5">
        <v>2.0268000000000002</v>
      </c>
      <c r="B182" s="5">
        <v>2288.1999999999998</v>
      </c>
      <c r="C182">
        <f t="shared" si="9"/>
        <v>6.3337500000000005E-2</v>
      </c>
      <c r="D182">
        <f t="shared" si="10"/>
        <v>126.28035320088298</v>
      </c>
      <c r="E182" s="2"/>
      <c r="F182" s="2"/>
      <c r="G182" s="2"/>
      <c r="H182" s="2"/>
    </row>
    <row r="183" spans="1:8" x14ac:dyDescent="0.3">
      <c r="A183" s="5">
        <v>2.0396000000000001</v>
      </c>
      <c r="B183" s="5">
        <v>2280.8000000000002</v>
      </c>
      <c r="C183">
        <f t="shared" si="9"/>
        <v>6.3737500000000002E-2</v>
      </c>
      <c r="D183">
        <f t="shared" si="10"/>
        <v>125.8719646799117</v>
      </c>
      <c r="E183" s="2"/>
      <c r="F183" s="2"/>
      <c r="G183" s="2"/>
      <c r="H183" s="2"/>
    </row>
    <row r="184" spans="1:8" x14ac:dyDescent="0.3">
      <c r="A184" s="5">
        <v>2.0520999999999998</v>
      </c>
      <c r="B184" s="5">
        <v>2273.5</v>
      </c>
      <c r="C184">
        <f t="shared" si="9"/>
        <v>6.4128124999999994E-2</v>
      </c>
      <c r="D184">
        <f t="shared" si="10"/>
        <v>125.4690949227373</v>
      </c>
      <c r="E184" s="2"/>
      <c r="F184" s="2"/>
      <c r="G184" s="2"/>
      <c r="H184" s="2"/>
    </row>
    <row r="185" spans="1:8" x14ac:dyDescent="0.3">
      <c r="A185" s="5">
        <v>2.0647000000000002</v>
      </c>
      <c r="B185" s="5">
        <v>2266.1</v>
      </c>
      <c r="C185">
        <f t="shared" si="9"/>
        <v>6.4521875000000006E-2</v>
      </c>
      <c r="D185">
        <f t="shared" si="10"/>
        <v>125.060706401766</v>
      </c>
      <c r="E185" s="2"/>
      <c r="F185" s="2"/>
      <c r="G185" s="2"/>
      <c r="H185" s="2"/>
    </row>
    <row r="186" spans="1:8" x14ac:dyDescent="0.3">
      <c r="A186" s="5">
        <v>2.0792000000000002</v>
      </c>
      <c r="B186" s="5">
        <v>2258.8000000000002</v>
      </c>
      <c r="C186">
        <f t="shared" si="9"/>
        <v>6.4975000000000005E-2</v>
      </c>
      <c r="D186">
        <f t="shared" si="10"/>
        <v>124.65783664459161</v>
      </c>
      <c r="E186" s="2"/>
      <c r="F186" s="2"/>
      <c r="G186" s="2"/>
      <c r="H186" s="2"/>
    </row>
    <row r="187" spans="1:8" x14ac:dyDescent="0.3">
      <c r="A187" s="5">
        <v>2.0914000000000001</v>
      </c>
      <c r="B187" s="5">
        <v>2251.4</v>
      </c>
      <c r="C187">
        <f t="shared" si="9"/>
        <v>6.5356250000000005E-2</v>
      </c>
      <c r="D187">
        <f t="shared" si="10"/>
        <v>124.24944812362031</v>
      </c>
      <c r="E187" s="2"/>
      <c r="F187" s="2"/>
      <c r="G187" s="2"/>
      <c r="H187" s="2"/>
    </row>
    <row r="188" spans="1:8" x14ac:dyDescent="0.3">
      <c r="A188" s="5">
        <v>2.1040999999999999</v>
      </c>
      <c r="B188" s="5">
        <v>2244</v>
      </c>
      <c r="C188">
        <f t="shared" si="9"/>
        <v>6.5753124999999996E-2</v>
      </c>
      <c r="D188">
        <f t="shared" si="10"/>
        <v>123.841059602649</v>
      </c>
      <c r="E188" s="2"/>
      <c r="F188" s="2"/>
      <c r="G188" s="2"/>
      <c r="H188" s="2"/>
    </row>
    <row r="189" spans="1:8" x14ac:dyDescent="0.3">
      <c r="A189" s="5">
        <v>2.1168999999999998</v>
      </c>
      <c r="B189" s="5">
        <v>2240.4</v>
      </c>
      <c r="C189">
        <f t="shared" si="9"/>
        <v>6.6153124999999993E-2</v>
      </c>
      <c r="D189">
        <f t="shared" si="10"/>
        <v>123.64238410596026</v>
      </c>
      <c r="E189" s="2"/>
      <c r="F189" s="2"/>
      <c r="G189" s="2"/>
      <c r="H189" s="2"/>
    </row>
    <row r="190" spans="1:8" x14ac:dyDescent="0.3">
      <c r="A190" s="5">
        <v>2.1307999999999998</v>
      </c>
      <c r="B190" s="5">
        <v>2233</v>
      </c>
      <c r="C190">
        <f t="shared" si="9"/>
        <v>6.6587499999999994E-2</v>
      </c>
      <c r="D190">
        <f t="shared" si="10"/>
        <v>123.23399558498896</v>
      </c>
      <c r="E190" s="2"/>
      <c r="F190" s="2"/>
      <c r="G190" s="2"/>
      <c r="H190" s="2"/>
    </row>
    <row r="191" spans="1:8" x14ac:dyDescent="0.3">
      <c r="A191" s="5">
        <v>2.1438999999999999</v>
      </c>
      <c r="B191" s="5">
        <v>2225.6</v>
      </c>
      <c r="C191">
        <f t="shared" si="9"/>
        <v>6.6996874999999997E-2</v>
      </c>
      <c r="D191">
        <f t="shared" si="10"/>
        <v>122.82560706401765</v>
      </c>
      <c r="E191" s="2"/>
      <c r="F191" s="2"/>
      <c r="G191" s="2"/>
      <c r="H191" s="2"/>
    </row>
    <row r="192" spans="1:8" x14ac:dyDescent="0.3">
      <c r="A192" s="5">
        <v>2.1564000000000001</v>
      </c>
      <c r="B192" s="5">
        <v>2218.3000000000002</v>
      </c>
      <c r="C192">
        <f t="shared" si="9"/>
        <v>6.7387500000000003E-2</v>
      </c>
      <c r="D192">
        <f t="shared" si="10"/>
        <v>122.42273730684327</v>
      </c>
      <c r="E192" s="2"/>
      <c r="F192" s="2"/>
      <c r="G192" s="2"/>
      <c r="H192" s="2"/>
    </row>
    <row r="193" spans="1:8" x14ac:dyDescent="0.3">
      <c r="A193" s="5">
        <v>2.1690999999999998</v>
      </c>
      <c r="B193" s="5">
        <v>2214.6</v>
      </c>
      <c r="C193">
        <f t="shared" si="9"/>
        <v>6.7784374999999994E-2</v>
      </c>
      <c r="D193">
        <f t="shared" si="10"/>
        <v>122.21854304635761</v>
      </c>
      <c r="E193" s="2"/>
      <c r="F193" s="2"/>
      <c r="G193" s="2"/>
      <c r="H193" s="2"/>
    </row>
    <row r="194" spans="1:8" x14ac:dyDescent="0.3">
      <c r="A194" s="5">
        <v>2.1817000000000002</v>
      </c>
      <c r="B194" s="5">
        <v>2207.1999999999998</v>
      </c>
      <c r="C194">
        <f t="shared" si="9"/>
        <v>6.8178125000000006E-2</v>
      </c>
      <c r="D194">
        <f t="shared" si="10"/>
        <v>121.8101545253863</v>
      </c>
      <c r="E194" s="2"/>
      <c r="F194" s="2"/>
      <c r="G194" s="2"/>
      <c r="H194" s="2"/>
    </row>
    <row r="195" spans="1:8" x14ac:dyDescent="0.3">
      <c r="A195" s="5">
        <v>2.1959</v>
      </c>
      <c r="B195" s="5">
        <v>2196.1999999999998</v>
      </c>
      <c r="C195">
        <f t="shared" si="9"/>
        <v>6.8621874999999999E-2</v>
      </c>
      <c r="D195">
        <f t="shared" si="10"/>
        <v>121.20309050772626</v>
      </c>
      <c r="E195" s="2"/>
      <c r="F195" s="2"/>
      <c r="G195" s="2"/>
      <c r="H195" s="2"/>
    </row>
    <row r="196" spans="1:8" x14ac:dyDescent="0.3">
      <c r="A196" s="5">
        <v>2.2086999999999999</v>
      </c>
      <c r="B196" s="5">
        <v>2188.9</v>
      </c>
      <c r="C196">
        <f t="shared" si="9"/>
        <v>6.9021874999999996E-2</v>
      </c>
      <c r="D196">
        <f t="shared" si="10"/>
        <v>120.80022075055187</v>
      </c>
      <c r="E196" s="2"/>
      <c r="F196" s="2"/>
      <c r="G196" s="2"/>
      <c r="H196" s="2"/>
    </row>
    <row r="197" spans="1:8" x14ac:dyDescent="0.3">
      <c r="A197" s="5">
        <v>2.2212999999999998</v>
      </c>
      <c r="B197" s="5">
        <v>2181.5</v>
      </c>
      <c r="C197">
        <f t="shared" si="9"/>
        <v>6.9415624999999995E-2</v>
      </c>
      <c r="D197">
        <f t="shared" si="10"/>
        <v>120.39183222958057</v>
      </c>
      <c r="E197" s="2"/>
      <c r="F197" s="2"/>
      <c r="G197" s="2"/>
      <c r="H197" s="2"/>
    </row>
    <row r="198" spans="1:8" x14ac:dyDescent="0.3">
      <c r="A198" s="5">
        <v>2.2342</v>
      </c>
      <c r="B198" s="5">
        <v>2174.1</v>
      </c>
      <c r="C198">
        <f t="shared" si="9"/>
        <v>6.9818749999999999E-2</v>
      </c>
      <c r="D198">
        <f t="shared" si="10"/>
        <v>119.98344370860926</v>
      </c>
      <c r="E198" s="2"/>
      <c r="F198" s="2"/>
      <c r="G198" s="2"/>
      <c r="H198" s="2"/>
    </row>
    <row r="199" spans="1:8" x14ac:dyDescent="0.3">
      <c r="A199" s="5">
        <v>2.2486000000000002</v>
      </c>
      <c r="B199" s="5">
        <v>2166.8000000000002</v>
      </c>
      <c r="C199">
        <f t="shared" si="9"/>
        <v>7.0268750000000005E-2</v>
      </c>
      <c r="D199">
        <f t="shared" si="10"/>
        <v>119.58057395143489</v>
      </c>
      <c r="E199" s="2"/>
      <c r="F199" s="2"/>
      <c r="G199" s="2"/>
      <c r="H199" s="2"/>
    </row>
    <row r="200" spans="1:8" x14ac:dyDescent="0.3">
      <c r="A200" s="5">
        <v>2.2606000000000002</v>
      </c>
      <c r="B200" s="5">
        <v>2159.4</v>
      </c>
      <c r="C200">
        <f t="shared" si="9"/>
        <v>7.0643750000000005E-2</v>
      </c>
      <c r="D200">
        <f t="shared" si="10"/>
        <v>119.17218543046357</v>
      </c>
      <c r="E200" s="2"/>
      <c r="F200" s="2"/>
      <c r="G200" s="2"/>
      <c r="H200" s="2"/>
    </row>
    <row r="201" spans="1:8" x14ac:dyDescent="0.3">
      <c r="A201" s="5">
        <v>2.2736000000000001</v>
      </c>
      <c r="B201" s="5">
        <v>2152.1</v>
      </c>
      <c r="C201">
        <f t="shared" si="9"/>
        <v>7.1050000000000002E-2</v>
      </c>
      <c r="D201">
        <f t="shared" si="10"/>
        <v>118.76931567328917</v>
      </c>
      <c r="E201" s="2"/>
      <c r="F201" s="2"/>
      <c r="G201" s="2"/>
      <c r="H201" s="2"/>
    </row>
    <row r="202" spans="1:8" x14ac:dyDescent="0.3">
      <c r="A202" s="5">
        <v>2.2862</v>
      </c>
      <c r="B202" s="5">
        <v>2144.6999999999998</v>
      </c>
      <c r="C202">
        <f t="shared" si="9"/>
        <v>7.144375E-2</v>
      </c>
      <c r="D202">
        <f t="shared" si="10"/>
        <v>118.36092715231787</v>
      </c>
      <c r="E202" s="2"/>
      <c r="F202" s="2"/>
      <c r="G202" s="2"/>
      <c r="H202" s="2"/>
    </row>
    <row r="203" spans="1:8" x14ac:dyDescent="0.3">
      <c r="A203" s="5">
        <v>2.2988</v>
      </c>
      <c r="B203" s="5">
        <v>2137.4</v>
      </c>
      <c r="C203">
        <f t="shared" si="9"/>
        <v>7.1837499999999999E-2</v>
      </c>
      <c r="D203">
        <f t="shared" si="10"/>
        <v>117.95805739514348</v>
      </c>
      <c r="E203" s="2"/>
      <c r="F203" s="2"/>
      <c r="G203" s="2"/>
      <c r="H203" s="2"/>
    </row>
    <row r="204" spans="1:8" x14ac:dyDescent="0.3">
      <c r="A204" s="5">
        <v>2.3132000000000001</v>
      </c>
      <c r="B204" s="5">
        <v>2126.3000000000002</v>
      </c>
      <c r="C204">
        <f t="shared" si="9"/>
        <v>7.2287500000000005E-2</v>
      </c>
      <c r="D204">
        <f t="shared" si="10"/>
        <v>117.34547461368653</v>
      </c>
      <c r="E204" s="2"/>
      <c r="F204" s="2"/>
      <c r="G204" s="2"/>
      <c r="H204" s="2"/>
    </row>
    <row r="205" spans="1:8" x14ac:dyDescent="0.3">
      <c r="A205" s="5">
        <v>2.3258999999999999</v>
      </c>
      <c r="B205" s="5">
        <v>2119</v>
      </c>
      <c r="C205">
        <f t="shared" si="9"/>
        <v>7.2684374999999996E-2</v>
      </c>
      <c r="D205">
        <f t="shared" si="10"/>
        <v>116.94260485651213</v>
      </c>
      <c r="E205" s="2"/>
      <c r="F205" s="2"/>
      <c r="G205" s="2"/>
      <c r="H205" s="2"/>
    </row>
    <row r="206" spans="1:8" x14ac:dyDescent="0.3">
      <c r="A206" s="5">
        <v>2.3386999999999998</v>
      </c>
      <c r="B206" s="5">
        <v>2107.9</v>
      </c>
      <c r="C206">
        <f t="shared" si="9"/>
        <v>7.3084374999999993E-2</v>
      </c>
      <c r="D206">
        <f t="shared" si="10"/>
        <v>116.33002207505518</v>
      </c>
      <c r="E206" s="2"/>
      <c r="F206" s="2"/>
      <c r="G206" s="2"/>
      <c r="H206" s="2"/>
    </row>
    <row r="207" spans="1:8" x14ac:dyDescent="0.3">
      <c r="A207" s="5">
        <v>2.3513000000000002</v>
      </c>
      <c r="B207" s="5">
        <v>2100.6</v>
      </c>
      <c r="C207">
        <f t="shared" si="9"/>
        <v>7.3478125000000005E-2</v>
      </c>
      <c r="D207">
        <f t="shared" si="10"/>
        <v>115.92715231788078</v>
      </c>
      <c r="E207" s="2"/>
      <c r="F207" s="2"/>
      <c r="G207" s="2"/>
      <c r="H207" s="2"/>
    </row>
    <row r="208" spans="1:8" x14ac:dyDescent="0.3">
      <c r="A208" s="5">
        <v>2.3639999999999999</v>
      </c>
      <c r="B208" s="5">
        <v>2093.1999999999998</v>
      </c>
      <c r="C208">
        <f t="shared" si="9"/>
        <v>7.3874999999999996E-2</v>
      </c>
      <c r="D208">
        <f t="shared" si="10"/>
        <v>115.51876379690948</v>
      </c>
      <c r="E208" s="2"/>
      <c r="F208" s="2"/>
      <c r="G208" s="2"/>
      <c r="H208" s="2"/>
    </row>
    <row r="209" spans="1:8" x14ac:dyDescent="0.3">
      <c r="A209" s="5">
        <v>2.3786</v>
      </c>
      <c r="B209" s="5">
        <v>2082.1999999999998</v>
      </c>
      <c r="C209">
        <f t="shared" si="9"/>
        <v>7.4331250000000001E-2</v>
      </c>
      <c r="D209">
        <f t="shared" si="10"/>
        <v>114.91169977924943</v>
      </c>
      <c r="E209" s="2"/>
      <c r="F209" s="2"/>
      <c r="G209" s="2"/>
      <c r="H209" s="2"/>
    </row>
    <row r="210" spans="1:8" x14ac:dyDescent="0.3">
      <c r="A210" s="5">
        <v>2.3908999999999998</v>
      </c>
      <c r="B210" s="5">
        <v>2074.8000000000002</v>
      </c>
      <c r="C210">
        <f t="shared" si="9"/>
        <v>7.4715624999999994E-2</v>
      </c>
      <c r="D210">
        <f t="shared" si="10"/>
        <v>114.50331125827815</v>
      </c>
      <c r="E210" s="2"/>
      <c r="F210" s="2"/>
      <c r="G210" s="2"/>
      <c r="H210" s="2"/>
    </row>
    <row r="211" spans="1:8" x14ac:dyDescent="0.3">
      <c r="A211" s="5">
        <v>2.4039000000000001</v>
      </c>
      <c r="B211" s="5">
        <v>2063.8000000000002</v>
      </c>
      <c r="C211">
        <f t="shared" si="9"/>
        <v>7.5121875000000005E-2</v>
      </c>
      <c r="D211">
        <f t="shared" si="10"/>
        <v>113.89624724061811</v>
      </c>
      <c r="E211" s="2"/>
      <c r="F211" s="2"/>
      <c r="G211" s="2"/>
      <c r="H211" s="2"/>
    </row>
    <row r="212" spans="1:8" x14ac:dyDescent="0.3">
      <c r="A212" s="5">
        <v>2.4163999999999999</v>
      </c>
      <c r="B212" s="5">
        <v>2052.6999999999998</v>
      </c>
      <c r="C212">
        <f t="shared" si="9"/>
        <v>7.5512499999999996E-2</v>
      </c>
      <c r="D212">
        <f t="shared" si="10"/>
        <v>113.28366445916113</v>
      </c>
      <c r="E212" s="2"/>
      <c r="F212" s="2"/>
      <c r="G212" s="2"/>
      <c r="H212" s="2"/>
    </row>
    <row r="213" spans="1:8" x14ac:dyDescent="0.3">
      <c r="A213" s="5">
        <v>2.4306000000000001</v>
      </c>
      <c r="B213" s="5">
        <v>2045.4</v>
      </c>
      <c r="C213">
        <f t="shared" si="9"/>
        <v>7.5956250000000003E-2</v>
      </c>
      <c r="D213">
        <f t="shared" si="10"/>
        <v>112.88079470198676</v>
      </c>
      <c r="E213" s="2"/>
      <c r="F213" s="2"/>
      <c r="G213" s="2"/>
      <c r="H213" s="2"/>
    </row>
    <row r="214" spans="1:8" x14ac:dyDescent="0.3">
      <c r="A214" s="5">
        <v>2.4434</v>
      </c>
      <c r="B214" s="5">
        <v>2034.3</v>
      </c>
      <c r="C214">
        <f t="shared" si="9"/>
        <v>7.6356250000000001E-2</v>
      </c>
      <c r="D214">
        <f t="shared" si="10"/>
        <v>112.26821192052979</v>
      </c>
      <c r="E214" s="2"/>
      <c r="F214" s="2"/>
      <c r="G214" s="2"/>
      <c r="H214" s="2"/>
    </row>
    <row r="215" spans="1:8" x14ac:dyDescent="0.3">
      <c r="A215" s="5">
        <v>2.456</v>
      </c>
      <c r="B215" s="5">
        <v>2027</v>
      </c>
      <c r="C215">
        <f t="shared" si="9"/>
        <v>7.6749999999999999E-2</v>
      </c>
      <c r="D215">
        <f t="shared" si="10"/>
        <v>111.86534216335541</v>
      </c>
      <c r="E215" s="2"/>
      <c r="F215" s="2"/>
      <c r="G215" s="2"/>
      <c r="H215" s="2"/>
    </row>
    <row r="216" spans="1:8" x14ac:dyDescent="0.3">
      <c r="A216" s="5">
        <v>2.4689000000000001</v>
      </c>
      <c r="B216" s="5">
        <v>2016</v>
      </c>
      <c r="C216">
        <f t="shared" si="9"/>
        <v>7.7153125000000003E-2</v>
      </c>
      <c r="D216">
        <f t="shared" si="10"/>
        <v>111.25827814569536</v>
      </c>
      <c r="E216" s="2"/>
      <c r="F216" s="2"/>
      <c r="G216" s="2"/>
      <c r="H216" s="2"/>
    </row>
    <row r="217" spans="1:8" x14ac:dyDescent="0.3">
      <c r="A217" s="5">
        <v>2.4811999999999999</v>
      </c>
      <c r="B217" s="5">
        <v>2004.9</v>
      </c>
      <c r="C217">
        <f t="shared" ref="C217:C280" si="11">A217/32</f>
        <v>7.7537499999999995E-2</v>
      </c>
      <c r="D217">
        <f t="shared" ref="D217:D280" si="12">B217/(3*6.04)</f>
        <v>110.64569536423841</v>
      </c>
      <c r="E217" s="2"/>
      <c r="F217" s="2"/>
      <c r="G217" s="2"/>
      <c r="H217" s="2"/>
    </row>
    <row r="218" spans="1:8" x14ac:dyDescent="0.3">
      <c r="A218" s="5">
        <v>2.4956999999999998</v>
      </c>
      <c r="B218" s="5">
        <v>1993.9</v>
      </c>
      <c r="C218">
        <f t="shared" si="11"/>
        <v>7.7990624999999994E-2</v>
      </c>
      <c r="D218">
        <f t="shared" si="12"/>
        <v>110.03863134657837</v>
      </c>
      <c r="E218" s="2"/>
      <c r="F218" s="2"/>
      <c r="G218" s="2"/>
      <c r="H218" s="2"/>
    </row>
    <row r="219" spans="1:8" x14ac:dyDescent="0.3">
      <c r="A219" s="5">
        <v>2.508</v>
      </c>
      <c r="B219" s="5">
        <v>1982.8</v>
      </c>
      <c r="C219">
        <f t="shared" si="11"/>
        <v>7.8375E-2</v>
      </c>
      <c r="D219">
        <f t="shared" si="12"/>
        <v>109.42604856512141</v>
      </c>
      <c r="E219" s="2"/>
      <c r="F219" s="2"/>
      <c r="G219" s="2"/>
      <c r="H219" s="2"/>
    </row>
    <row r="220" spans="1:8" x14ac:dyDescent="0.3">
      <c r="A220" s="5">
        <v>2.5207999999999999</v>
      </c>
      <c r="B220" s="5">
        <v>1971.8</v>
      </c>
      <c r="C220">
        <f t="shared" si="11"/>
        <v>7.8774999999999998E-2</v>
      </c>
      <c r="D220">
        <f t="shared" si="12"/>
        <v>108.81898454746135</v>
      </c>
      <c r="E220" s="2"/>
      <c r="F220" s="2"/>
      <c r="G220" s="2"/>
      <c r="H220" s="2"/>
    </row>
    <row r="221" spans="1:8" x14ac:dyDescent="0.3">
      <c r="A221" s="5">
        <v>2.5333999999999999</v>
      </c>
      <c r="B221" s="5">
        <v>1960.8</v>
      </c>
      <c r="C221">
        <f t="shared" si="11"/>
        <v>7.9168749999999996E-2</v>
      </c>
      <c r="D221">
        <f t="shared" si="12"/>
        <v>108.21192052980132</v>
      </c>
      <c r="E221" s="2"/>
      <c r="F221" s="2"/>
      <c r="G221" s="2"/>
      <c r="H221" s="2"/>
    </row>
    <row r="222" spans="1:8" x14ac:dyDescent="0.3">
      <c r="A222" s="5">
        <v>2.5476999999999999</v>
      </c>
      <c r="B222" s="5">
        <v>1949.7</v>
      </c>
      <c r="C222">
        <f t="shared" si="11"/>
        <v>7.9615624999999995E-2</v>
      </c>
      <c r="D222">
        <f t="shared" si="12"/>
        <v>107.59933774834437</v>
      </c>
      <c r="E222" s="2"/>
      <c r="F222" s="2"/>
      <c r="G222" s="2"/>
      <c r="H222" s="2"/>
    </row>
    <row r="223" spans="1:8" x14ac:dyDescent="0.3">
      <c r="A223" s="5">
        <v>2.5607000000000002</v>
      </c>
      <c r="B223" s="5">
        <v>1938.7</v>
      </c>
      <c r="C223">
        <f t="shared" si="11"/>
        <v>8.0021875000000006E-2</v>
      </c>
      <c r="D223">
        <f t="shared" si="12"/>
        <v>106.99227373068432</v>
      </c>
      <c r="E223" s="2"/>
      <c r="F223" s="2"/>
      <c r="G223" s="2"/>
      <c r="H223" s="2"/>
    </row>
    <row r="224" spans="1:8" x14ac:dyDescent="0.3">
      <c r="A224" s="5">
        <v>2.573</v>
      </c>
      <c r="B224" s="5">
        <v>1927.7</v>
      </c>
      <c r="C224">
        <f t="shared" si="11"/>
        <v>8.0406249999999999E-2</v>
      </c>
      <c r="D224">
        <f t="shared" si="12"/>
        <v>106.38520971302428</v>
      </c>
      <c r="E224" s="2"/>
      <c r="F224" s="2"/>
      <c r="G224" s="2"/>
      <c r="H224" s="2"/>
    </row>
    <row r="225" spans="1:8" x14ac:dyDescent="0.3">
      <c r="A225" s="5">
        <v>2.5857000000000001</v>
      </c>
      <c r="B225" s="5">
        <v>1920.3</v>
      </c>
      <c r="C225">
        <f t="shared" si="11"/>
        <v>8.0803125000000003E-2</v>
      </c>
      <c r="D225">
        <f t="shared" si="12"/>
        <v>105.97682119205297</v>
      </c>
      <c r="E225" s="2"/>
      <c r="F225" s="2"/>
      <c r="G225" s="2"/>
      <c r="H225" s="2"/>
    </row>
    <row r="226" spans="1:8" x14ac:dyDescent="0.3">
      <c r="A226" s="5">
        <v>2.5987</v>
      </c>
      <c r="B226" s="5">
        <v>1909.3</v>
      </c>
      <c r="C226">
        <f t="shared" si="11"/>
        <v>8.1209375E-2</v>
      </c>
      <c r="D226">
        <f t="shared" si="12"/>
        <v>105.36975717439293</v>
      </c>
      <c r="E226" s="2"/>
      <c r="F226" s="2"/>
      <c r="G226" s="2"/>
      <c r="H226" s="2"/>
    </row>
    <row r="227" spans="1:8" x14ac:dyDescent="0.3">
      <c r="A227" s="5">
        <v>2.6126999999999998</v>
      </c>
      <c r="B227" s="5">
        <v>1894.6</v>
      </c>
      <c r="C227">
        <f t="shared" si="11"/>
        <v>8.1646874999999994E-2</v>
      </c>
      <c r="D227">
        <f t="shared" si="12"/>
        <v>104.55849889624723</v>
      </c>
      <c r="E227" s="2"/>
      <c r="F227" s="2"/>
      <c r="G227" s="2"/>
      <c r="H227" s="2"/>
    </row>
    <row r="228" spans="1:8" x14ac:dyDescent="0.3">
      <c r="A228" s="5">
        <v>2.6254</v>
      </c>
      <c r="B228" s="5">
        <v>1883.5</v>
      </c>
      <c r="C228">
        <f t="shared" si="11"/>
        <v>8.2043749999999999E-2</v>
      </c>
      <c r="D228">
        <f t="shared" si="12"/>
        <v>103.94591611479028</v>
      </c>
      <c r="E228" s="2"/>
      <c r="F228" s="2"/>
      <c r="G228" s="2"/>
      <c r="H228" s="2"/>
    </row>
    <row r="229" spans="1:8" x14ac:dyDescent="0.3">
      <c r="A229" s="5">
        <v>2.6381999999999999</v>
      </c>
      <c r="B229" s="5">
        <v>1872.5</v>
      </c>
      <c r="C229">
        <f t="shared" si="11"/>
        <v>8.2443749999999996E-2</v>
      </c>
      <c r="D229">
        <f t="shared" si="12"/>
        <v>103.33885209713024</v>
      </c>
      <c r="E229" s="2"/>
      <c r="F229" s="2"/>
      <c r="G229" s="2"/>
      <c r="H229" s="2"/>
    </row>
    <row r="230" spans="1:8" x14ac:dyDescent="0.3">
      <c r="A230" s="5">
        <v>2.6507999999999998</v>
      </c>
      <c r="B230" s="5">
        <v>1861.4</v>
      </c>
      <c r="C230">
        <f t="shared" si="11"/>
        <v>8.2837499999999994E-2</v>
      </c>
      <c r="D230">
        <f t="shared" si="12"/>
        <v>102.72626931567329</v>
      </c>
      <c r="E230" s="2"/>
      <c r="F230" s="2"/>
      <c r="G230" s="2"/>
      <c r="H230" s="2"/>
    </row>
    <row r="231" spans="1:8" x14ac:dyDescent="0.3">
      <c r="A231" s="5">
        <v>2.6636000000000002</v>
      </c>
      <c r="B231" s="5">
        <v>1850.4</v>
      </c>
      <c r="C231">
        <f t="shared" si="11"/>
        <v>8.3237500000000006E-2</v>
      </c>
      <c r="D231">
        <f t="shared" si="12"/>
        <v>102.11920529801324</v>
      </c>
      <c r="E231" s="2"/>
      <c r="F231" s="2"/>
      <c r="G231" s="2"/>
      <c r="H231" s="2"/>
    </row>
    <row r="232" spans="1:8" x14ac:dyDescent="0.3">
      <c r="A232" s="5">
        <v>2.6776</v>
      </c>
      <c r="B232" s="5">
        <v>1839.4</v>
      </c>
      <c r="C232">
        <f t="shared" si="11"/>
        <v>8.3674999999999999E-2</v>
      </c>
      <c r="D232">
        <f t="shared" si="12"/>
        <v>101.51214128035321</v>
      </c>
      <c r="E232" s="2"/>
      <c r="F232" s="2"/>
      <c r="G232" s="2"/>
      <c r="H232" s="2"/>
    </row>
    <row r="233" spans="1:8" x14ac:dyDescent="0.3">
      <c r="A233" s="5">
        <v>2.6907000000000001</v>
      </c>
      <c r="B233" s="5">
        <v>1824.7</v>
      </c>
      <c r="C233">
        <f t="shared" si="11"/>
        <v>8.4084375000000003E-2</v>
      </c>
      <c r="D233">
        <f t="shared" si="12"/>
        <v>100.7008830022075</v>
      </c>
      <c r="E233" s="2"/>
      <c r="F233" s="2"/>
      <c r="G233" s="2"/>
      <c r="H233" s="2"/>
    </row>
    <row r="234" spans="1:8" x14ac:dyDescent="0.3">
      <c r="A234" s="5">
        <v>2.7031000000000001</v>
      </c>
      <c r="B234" s="5">
        <v>1809.9</v>
      </c>
      <c r="C234">
        <f t="shared" si="11"/>
        <v>8.4471875000000002E-2</v>
      </c>
      <c r="D234">
        <f t="shared" si="12"/>
        <v>99.884105960264904</v>
      </c>
      <c r="E234" s="2"/>
      <c r="F234" s="2"/>
      <c r="G234" s="2"/>
      <c r="H234" s="2"/>
    </row>
    <row r="235" spans="1:8" x14ac:dyDescent="0.3">
      <c r="A235" s="5">
        <v>2.7157</v>
      </c>
      <c r="B235" s="5">
        <v>1798.9</v>
      </c>
      <c r="C235">
        <f t="shared" si="11"/>
        <v>8.4865625E-2</v>
      </c>
      <c r="D235">
        <f t="shared" si="12"/>
        <v>99.277041942604853</v>
      </c>
      <c r="E235" s="2"/>
      <c r="F235" s="2"/>
      <c r="G235" s="2"/>
      <c r="H235" s="2"/>
    </row>
    <row r="236" spans="1:8" x14ac:dyDescent="0.3">
      <c r="A236" s="5">
        <v>2.73</v>
      </c>
      <c r="B236" s="5">
        <v>1784.2</v>
      </c>
      <c r="C236">
        <f t="shared" si="11"/>
        <v>8.5312499999999999E-2</v>
      </c>
      <c r="D236">
        <f t="shared" si="12"/>
        <v>98.465783664459153</v>
      </c>
      <c r="E236" s="2"/>
      <c r="F236" s="2"/>
      <c r="G236" s="2"/>
      <c r="H236" s="2"/>
    </row>
    <row r="237" spans="1:8" x14ac:dyDescent="0.3">
      <c r="A237" s="5">
        <v>2.7427000000000001</v>
      </c>
      <c r="B237" s="5">
        <v>1769.5</v>
      </c>
      <c r="C237">
        <f t="shared" si="11"/>
        <v>8.5709375000000004E-2</v>
      </c>
      <c r="D237">
        <f t="shared" si="12"/>
        <v>97.654525386313466</v>
      </c>
      <c r="E237" s="2"/>
      <c r="F237" s="2"/>
      <c r="G237" s="2"/>
      <c r="H237" s="2"/>
    </row>
    <row r="238" spans="1:8" x14ac:dyDescent="0.3">
      <c r="A238" s="5">
        <v>2.7557</v>
      </c>
      <c r="B238" s="5">
        <v>1754.8</v>
      </c>
      <c r="C238">
        <f t="shared" si="11"/>
        <v>8.6115625000000001E-2</v>
      </c>
      <c r="D238">
        <f t="shared" si="12"/>
        <v>96.843267108167765</v>
      </c>
      <c r="E238" s="2"/>
      <c r="F238" s="2"/>
      <c r="G238" s="2"/>
      <c r="H238" s="2"/>
    </row>
    <row r="239" spans="1:8" x14ac:dyDescent="0.3">
      <c r="A239" s="5">
        <v>2.7682000000000002</v>
      </c>
      <c r="B239" s="5">
        <v>1736.4</v>
      </c>
      <c r="C239">
        <f t="shared" si="11"/>
        <v>8.6506250000000007E-2</v>
      </c>
      <c r="D239">
        <f t="shared" si="12"/>
        <v>95.827814569536429</v>
      </c>
      <c r="E239" s="2"/>
      <c r="F239" s="2"/>
      <c r="G239" s="2"/>
      <c r="H239" s="2"/>
    </row>
    <row r="240" spans="1:8" x14ac:dyDescent="0.3">
      <c r="A240" s="5">
        <v>2.7808999999999999</v>
      </c>
      <c r="B240" s="5">
        <v>1721.7</v>
      </c>
      <c r="C240">
        <f t="shared" si="11"/>
        <v>8.6903124999999998E-2</v>
      </c>
      <c r="D240">
        <f t="shared" si="12"/>
        <v>95.016556291390728</v>
      </c>
      <c r="E240" s="2"/>
      <c r="F240" s="2"/>
      <c r="G240" s="2"/>
      <c r="H240" s="2"/>
    </row>
    <row r="241" spans="1:8" x14ac:dyDescent="0.3">
      <c r="A241" s="5">
        <v>2.7951999999999999</v>
      </c>
      <c r="B241" s="5">
        <v>1699.6</v>
      </c>
      <c r="C241">
        <f t="shared" si="11"/>
        <v>8.7349999999999997E-2</v>
      </c>
      <c r="D241">
        <f t="shared" si="12"/>
        <v>93.796909492273727</v>
      </c>
      <c r="E241" s="2"/>
      <c r="F241" s="2"/>
      <c r="G241" s="2"/>
      <c r="H241" s="2"/>
    </row>
    <row r="242" spans="1:8" x14ac:dyDescent="0.3">
      <c r="A242" s="5">
        <v>2.8073999999999999</v>
      </c>
      <c r="B242" s="5">
        <v>1673.8</v>
      </c>
      <c r="C242">
        <f t="shared" si="11"/>
        <v>8.7731249999999997E-2</v>
      </c>
      <c r="D242">
        <f t="shared" si="12"/>
        <v>92.373068432671076</v>
      </c>
      <c r="E242" s="2"/>
      <c r="F242" s="2"/>
      <c r="G242" s="2"/>
      <c r="H242" s="2"/>
    </row>
    <row r="243" spans="1:8" x14ac:dyDescent="0.3">
      <c r="A243" s="5">
        <v>2.8203999999999998</v>
      </c>
      <c r="B243" s="5">
        <v>1633.4</v>
      </c>
      <c r="C243">
        <f t="shared" si="11"/>
        <v>8.8137499999999994E-2</v>
      </c>
      <c r="D243">
        <f t="shared" si="12"/>
        <v>90.143487858719652</v>
      </c>
      <c r="E243" s="2"/>
      <c r="F243" s="2"/>
      <c r="G243" s="2"/>
      <c r="H243" s="2"/>
    </row>
    <row r="244" spans="1:8" x14ac:dyDescent="0.3">
      <c r="A244" s="5">
        <v>2.8328000000000002</v>
      </c>
      <c r="B244" s="5">
        <v>1574.5</v>
      </c>
      <c r="C244">
        <f t="shared" si="11"/>
        <v>8.8525000000000006E-2</v>
      </c>
      <c r="D244">
        <f t="shared" si="12"/>
        <v>86.892935982339949</v>
      </c>
      <c r="E244" s="2"/>
      <c r="F244" s="2"/>
      <c r="G244" s="2"/>
      <c r="H244" s="2"/>
    </row>
    <row r="245" spans="1:8" x14ac:dyDescent="0.3">
      <c r="A245" s="5">
        <v>2.8473000000000002</v>
      </c>
      <c r="B245" s="5">
        <v>1504.6</v>
      </c>
      <c r="C245">
        <f t="shared" si="11"/>
        <v>8.8978125000000005E-2</v>
      </c>
      <c r="D245">
        <f t="shared" si="12"/>
        <v>83.03532008830021</v>
      </c>
      <c r="E245" s="2"/>
      <c r="F245" s="2"/>
      <c r="G245" s="2"/>
      <c r="H245" s="2"/>
    </row>
    <row r="246" spans="1:8" x14ac:dyDescent="0.3">
      <c r="A246" s="5">
        <v>2.86</v>
      </c>
      <c r="B246" s="5">
        <v>1449.4</v>
      </c>
      <c r="C246">
        <f t="shared" si="11"/>
        <v>8.9374999999999996E-2</v>
      </c>
      <c r="D246">
        <f t="shared" si="12"/>
        <v>79.988962472406186</v>
      </c>
      <c r="E246" s="2"/>
      <c r="F246" s="2"/>
      <c r="G246" s="2"/>
      <c r="H246" s="2"/>
    </row>
    <row r="247" spans="1:8" x14ac:dyDescent="0.3">
      <c r="A247" s="5">
        <v>2.8725999999999998</v>
      </c>
      <c r="B247" s="5">
        <v>1397.9</v>
      </c>
      <c r="C247">
        <f t="shared" si="11"/>
        <v>8.9768749999999994E-2</v>
      </c>
      <c r="D247">
        <f t="shared" si="12"/>
        <v>77.146799116997798</v>
      </c>
      <c r="E247" s="2"/>
      <c r="F247" s="2"/>
      <c r="G247" s="2"/>
      <c r="H247" s="2"/>
    </row>
    <row r="248" spans="1:8" x14ac:dyDescent="0.3">
      <c r="A248" s="5">
        <v>2.8853</v>
      </c>
      <c r="B248" s="5">
        <v>1353.8</v>
      </c>
      <c r="C248">
        <f t="shared" si="11"/>
        <v>9.0165624999999999E-2</v>
      </c>
      <c r="D248">
        <f t="shared" si="12"/>
        <v>74.713024282560696</v>
      </c>
      <c r="E248" s="2"/>
      <c r="F248" s="2"/>
      <c r="G248" s="2"/>
      <c r="H248" s="2"/>
    </row>
    <row r="249" spans="1:8" x14ac:dyDescent="0.3">
      <c r="A249" s="5">
        <v>2.8980999999999999</v>
      </c>
      <c r="B249" s="5">
        <v>1306</v>
      </c>
      <c r="C249">
        <f t="shared" si="11"/>
        <v>9.0565624999999997E-2</v>
      </c>
      <c r="D249">
        <f t="shared" si="12"/>
        <v>72.075055187637972</v>
      </c>
      <c r="E249" s="2"/>
      <c r="F249" s="2"/>
      <c r="G249" s="2"/>
      <c r="H249" s="2"/>
    </row>
    <row r="250" spans="1:8" x14ac:dyDescent="0.3">
      <c r="A250" s="5">
        <v>2.9125000000000001</v>
      </c>
      <c r="B250" s="5">
        <v>1254.5</v>
      </c>
      <c r="C250">
        <f t="shared" si="11"/>
        <v>9.1015625000000003E-2</v>
      </c>
      <c r="D250">
        <f t="shared" si="12"/>
        <v>69.232891832229583</v>
      </c>
      <c r="E250" s="2"/>
      <c r="F250" s="2"/>
      <c r="G250" s="2"/>
      <c r="H250" s="2"/>
    </row>
    <row r="251" spans="1:8" x14ac:dyDescent="0.3">
      <c r="A251" s="5">
        <v>2.9249999999999998</v>
      </c>
      <c r="B251" s="5">
        <v>1210.3</v>
      </c>
      <c r="C251">
        <f t="shared" si="11"/>
        <v>9.1406249999999994E-2</v>
      </c>
      <c r="D251">
        <f t="shared" si="12"/>
        <v>66.793598233995581</v>
      </c>
      <c r="E251" s="2"/>
      <c r="F251" s="2"/>
      <c r="G251" s="2"/>
      <c r="H251" s="2"/>
    </row>
    <row r="252" spans="1:8" x14ac:dyDescent="0.3">
      <c r="A252" s="5">
        <v>2.9377</v>
      </c>
      <c r="B252" s="5">
        <v>1173.5</v>
      </c>
      <c r="C252">
        <f t="shared" si="11"/>
        <v>9.1803124999999999E-2</v>
      </c>
      <c r="D252">
        <f t="shared" si="12"/>
        <v>64.762693156732894</v>
      </c>
      <c r="E252" s="2"/>
      <c r="F252" s="2"/>
      <c r="G252" s="2"/>
      <c r="H252" s="2"/>
    </row>
    <row r="253" spans="1:8" x14ac:dyDescent="0.3">
      <c r="A253" s="5">
        <v>2.9504000000000001</v>
      </c>
      <c r="B253" s="5">
        <v>1136.7</v>
      </c>
      <c r="C253">
        <f t="shared" si="11"/>
        <v>9.2200000000000004E-2</v>
      </c>
      <c r="D253">
        <f t="shared" si="12"/>
        <v>62.731788079470199</v>
      </c>
      <c r="E253" s="2"/>
      <c r="F253" s="2"/>
      <c r="G253" s="2"/>
      <c r="H253" s="2"/>
    </row>
    <row r="254" spans="1:8" x14ac:dyDescent="0.3">
      <c r="A254" s="5">
        <v>2.9630999999999998</v>
      </c>
      <c r="B254" s="5">
        <v>1099.9000000000001</v>
      </c>
      <c r="C254">
        <f t="shared" si="11"/>
        <v>9.2596874999999995E-2</v>
      </c>
      <c r="D254">
        <f t="shared" si="12"/>
        <v>60.700883002207505</v>
      </c>
      <c r="E254" s="2"/>
      <c r="F254" s="2"/>
      <c r="G254" s="2"/>
      <c r="H254" s="2"/>
    </row>
    <row r="255" spans="1:8" x14ac:dyDescent="0.3">
      <c r="A255" s="5">
        <v>2.9775</v>
      </c>
      <c r="B255" s="5">
        <v>1055.8</v>
      </c>
      <c r="C255">
        <f t="shared" si="11"/>
        <v>9.3046875000000001E-2</v>
      </c>
      <c r="D255">
        <f t="shared" si="12"/>
        <v>58.267108167770417</v>
      </c>
      <c r="E255" s="2"/>
      <c r="F255" s="2"/>
      <c r="G255" s="2"/>
      <c r="H255" s="2"/>
    </row>
    <row r="256" spans="1:8" x14ac:dyDescent="0.3">
      <c r="A256" s="5">
        <v>2.99</v>
      </c>
      <c r="B256" s="5">
        <v>1015.3</v>
      </c>
      <c r="C256">
        <f t="shared" si="11"/>
        <v>9.3437500000000007E-2</v>
      </c>
      <c r="D256">
        <f t="shared" si="12"/>
        <v>56.032008830022072</v>
      </c>
      <c r="E256" s="2"/>
      <c r="F256" s="2"/>
      <c r="G256" s="2"/>
      <c r="H256" s="2"/>
    </row>
    <row r="257" spans="1:8" x14ac:dyDescent="0.3">
      <c r="A257" s="5">
        <v>3.0028000000000001</v>
      </c>
      <c r="B257" s="5">
        <v>978.5</v>
      </c>
      <c r="C257">
        <f t="shared" si="11"/>
        <v>9.3837500000000004E-2</v>
      </c>
      <c r="D257">
        <f t="shared" si="12"/>
        <v>54.001103752759377</v>
      </c>
      <c r="E257" s="2"/>
      <c r="F257" s="2"/>
      <c r="G257" s="2"/>
      <c r="H257" s="2"/>
    </row>
    <row r="258" spans="1:8" x14ac:dyDescent="0.3">
      <c r="A258" s="5">
        <v>3.0154999999999998</v>
      </c>
      <c r="B258" s="5">
        <v>938.1</v>
      </c>
      <c r="C258">
        <f t="shared" si="11"/>
        <v>9.4234374999999995E-2</v>
      </c>
      <c r="D258">
        <f t="shared" si="12"/>
        <v>51.771523178807946</v>
      </c>
      <c r="E258" s="2"/>
      <c r="F258" s="2"/>
      <c r="G258" s="2"/>
      <c r="H258" s="2"/>
    </row>
    <row r="259" spans="1:8" x14ac:dyDescent="0.3">
      <c r="A259" s="5">
        <v>3.0297999999999998</v>
      </c>
      <c r="B259" s="5">
        <v>897.6</v>
      </c>
      <c r="C259">
        <f t="shared" si="11"/>
        <v>9.4681249999999995E-2</v>
      </c>
      <c r="D259">
        <f t="shared" si="12"/>
        <v>49.536423841059602</v>
      </c>
      <c r="E259" s="2"/>
      <c r="F259" s="2"/>
      <c r="G259" s="2"/>
      <c r="H259" s="2"/>
    </row>
    <row r="260" spans="1:8" x14ac:dyDescent="0.3">
      <c r="A260" s="5">
        <v>3.0425</v>
      </c>
      <c r="B260" s="5">
        <v>857.1</v>
      </c>
      <c r="C260">
        <f t="shared" si="11"/>
        <v>9.5078124999999999E-2</v>
      </c>
      <c r="D260">
        <f t="shared" si="12"/>
        <v>47.301324503311257</v>
      </c>
      <c r="E260" s="2"/>
      <c r="F260" s="2"/>
      <c r="G260" s="2"/>
      <c r="H260" s="2"/>
    </row>
    <row r="261" spans="1:8" x14ac:dyDescent="0.3">
      <c r="A261" s="5">
        <v>3.0550000000000002</v>
      </c>
      <c r="B261" s="5">
        <v>820.4</v>
      </c>
      <c r="C261">
        <f t="shared" si="11"/>
        <v>9.5468750000000005E-2</v>
      </c>
      <c r="D261">
        <f t="shared" si="12"/>
        <v>45.275938189845469</v>
      </c>
      <c r="E261" s="2"/>
      <c r="F261" s="2"/>
      <c r="G261" s="2"/>
      <c r="H261" s="2"/>
    </row>
    <row r="262" spans="1:8" x14ac:dyDescent="0.3">
      <c r="A262" s="5">
        <v>3.0678000000000001</v>
      </c>
      <c r="B262" s="5">
        <v>779.9</v>
      </c>
      <c r="C262">
        <f t="shared" si="11"/>
        <v>9.5868750000000003E-2</v>
      </c>
      <c r="D262">
        <f t="shared" si="12"/>
        <v>43.040838852097124</v>
      </c>
      <c r="E262" s="2"/>
      <c r="F262" s="2"/>
      <c r="G262" s="2"/>
      <c r="H262" s="2"/>
    </row>
    <row r="263" spans="1:8" x14ac:dyDescent="0.3">
      <c r="A263" s="5">
        <v>3.0804</v>
      </c>
      <c r="B263" s="5">
        <v>746.8</v>
      </c>
      <c r="C263">
        <f t="shared" si="11"/>
        <v>9.6262500000000001E-2</v>
      </c>
      <c r="D263">
        <f t="shared" si="12"/>
        <v>41.214128035320087</v>
      </c>
      <c r="E263" s="2"/>
      <c r="F263" s="2"/>
      <c r="G263" s="2"/>
      <c r="H263" s="2"/>
    </row>
    <row r="264" spans="1:8" x14ac:dyDescent="0.3">
      <c r="A264" s="5">
        <v>3.0948000000000002</v>
      </c>
      <c r="B264" s="5">
        <v>706.3</v>
      </c>
      <c r="C264">
        <f t="shared" si="11"/>
        <v>9.6712500000000007E-2</v>
      </c>
      <c r="D264">
        <f t="shared" si="12"/>
        <v>38.979028697571742</v>
      </c>
      <c r="E264" s="2"/>
      <c r="F264" s="2"/>
      <c r="G264" s="2"/>
      <c r="H264" s="2"/>
    </row>
    <row r="265" spans="1:8" x14ac:dyDescent="0.3">
      <c r="A265" s="5">
        <v>3.1078000000000001</v>
      </c>
      <c r="B265" s="5">
        <v>665.9</v>
      </c>
      <c r="C265">
        <f t="shared" si="11"/>
        <v>9.7118750000000004E-2</v>
      </c>
      <c r="D265">
        <f t="shared" si="12"/>
        <v>36.749448123620304</v>
      </c>
      <c r="E265" s="2"/>
      <c r="F265" s="2"/>
      <c r="G265" s="2"/>
      <c r="H265" s="2"/>
    </row>
    <row r="266" spans="1:8" x14ac:dyDescent="0.3">
      <c r="A266" s="5">
        <v>3.1204999999999998</v>
      </c>
      <c r="B266" s="5">
        <v>625.4</v>
      </c>
      <c r="C266">
        <f t="shared" si="11"/>
        <v>9.7515624999999995E-2</v>
      </c>
      <c r="D266">
        <f t="shared" si="12"/>
        <v>34.51434878587196</v>
      </c>
      <c r="E266" s="2"/>
      <c r="F266" s="2"/>
      <c r="G266" s="2"/>
      <c r="H266" s="2"/>
    </row>
    <row r="267" spans="1:8" x14ac:dyDescent="0.3">
      <c r="A267" s="5">
        <v>3.1331000000000002</v>
      </c>
      <c r="B267" s="5">
        <v>581.20000000000005</v>
      </c>
      <c r="C267">
        <f t="shared" si="11"/>
        <v>9.7909375000000007E-2</v>
      </c>
      <c r="D267">
        <f t="shared" si="12"/>
        <v>32.075055187637972</v>
      </c>
      <c r="E267" s="2"/>
      <c r="F267" s="2"/>
      <c r="G267" s="2"/>
      <c r="H267" s="2"/>
    </row>
    <row r="268" spans="1:8" x14ac:dyDescent="0.3">
      <c r="A268" s="5">
        <v>3.1453000000000002</v>
      </c>
      <c r="B268" s="5">
        <v>537.1</v>
      </c>
      <c r="C268">
        <f t="shared" si="11"/>
        <v>9.8290625000000006E-2</v>
      </c>
      <c r="D268">
        <f t="shared" si="12"/>
        <v>29.641280353200884</v>
      </c>
      <c r="E268" s="2"/>
      <c r="F268" s="2"/>
      <c r="G268" s="2"/>
      <c r="H268" s="2"/>
    </row>
    <row r="269" spans="1:8" x14ac:dyDescent="0.3">
      <c r="A269" s="5">
        <v>3.1596000000000002</v>
      </c>
      <c r="B269" s="5">
        <v>493</v>
      </c>
      <c r="C269">
        <f t="shared" si="11"/>
        <v>9.8737500000000006E-2</v>
      </c>
      <c r="D269">
        <f t="shared" si="12"/>
        <v>27.207505518763796</v>
      </c>
      <c r="E269" s="2"/>
      <c r="F269" s="2"/>
      <c r="G269" s="2"/>
      <c r="H269" s="2"/>
    </row>
    <row r="270" spans="1:8" x14ac:dyDescent="0.3">
      <c r="A270" s="5">
        <v>3.1724000000000001</v>
      </c>
      <c r="B270" s="5">
        <v>456.2</v>
      </c>
      <c r="C270">
        <f t="shared" si="11"/>
        <v>9.9137500000000003E-2</v>
      </c>
      <c r="D270">
        <f t="shared" si="12"/>
        <v>25.176600441501101</v>
      </c>
      <c r="E270" s="2"/>
      <c r="F270" s="2"/>
      <c r="G270" s="2"/>
      <c r="H270" s="2"/>
    </row>
    <row r="271" spans="1:8" x14ac:dyDescent="0.3">
      <c r="A271" s="5">
        <v>3.1848999999999998</v>
      </c>
      <c r="B271" s="5">
        <v>419.4</v>
      </c>
      <c r="C271">
        <f t="shared" si="11"/>
        <v>9.9528124999999995E-2</v>
      </c>
      <c r="D271">
        <f t="shared" si="12"/>
        <v>23.145695364238406</v>
      </c>
      <c r="E271" s="2"/>
      <c r="F271" s="2"/>
      <c r="G271" s="2"/>
      <c r="H271" s="2"/>
    </row>
    <row r="272" spans="1:8" x14ac:dyDescent="0.3">
      <c r="A272" s="5">
        <v>3.1979000000000002</v>
      </c>
      <c r="B272" s="5">
        <v>389.9</v>
      </c>
      <c r="C272">
        <f t="shared" si="11"/>
        <v>9.9934375000000006E-2</v>
      </c>
      <c r="D272">
        <f t="shared" si="12"/>
        <v>21.517660044150109</v>
      </c>
      <c r="E272" s="2"/>
      <c r="F272" s="2"/>
      <c r="G272" s="2"/>
      <c r="H272" s="2"/>
    </row>
    <row r="273" spans="1:8" x14ac:dyDescent="0.3">
      <c r="A273" s="5">
        <v>3.2121</v>
      </c>
      <c r="B273" s="5">
        <v>356.8</v>
      </c>
      <c r="C273">
        <f t="shared" si="11"/>
        <v>0.100378125</v>
      </c>
      <c r="D273">
        <f t="shared" si="12"/>
        <v>19.690949227373068</v>
      </c>
      <c r="E273" s="2"/>
      <c r="F273" s="2"/>
      <c r="G273" s="2"/>
      <c r="H273" s="2"/>
    </row>
    <row r="274" spans="1:8" x14ac:dyDescent="0.3">
      <c r="A274" s="5">
        <v>3.2250000000000001</v>
      </c>
      <c r="B274" s="5">
        <v>331.1</v>
      </c>
      <c r="C274">
        <f t="shared" si="11"/>
        <v>0.10078125</v>
      </c>
      <c r="D274">
        <f t="shared" si="12"/>
        <v>18.272626931567331</v>
      </c>
      <c r="E274" s="2"/>
      <c r="F274" s="2"/>
      <c r="G274" s="2"/>
      <c r="H274" s="2"/>
    </row>
    <row r="275" spans="1:8" x14ac:dyDescent="0.3">
      <c r="A275" s="5">
        <v>3.2382</v>
      </c>
      <c r="B275" s="5">
        <v>301.7</v>
      </c>
      <c r="C275">
        <f t="shared" si="11"/>
        <v>0.10119375</v>
      </c>
      <c r="D275">
        <f t="shared" si="12"/>
        <v>16.650110375275936</v>
      </c>
      <c r="E275" s="2"/>
      <c r="F275" s="2"/>
      <c r="G275" s="2"/>
      <c r="H275" s="2"/>
    </row>
    <row r="276" spans="1:8" x14ac:dyDescent="0.3">
      <c r="A276" s="5">
        <v>3.2505999999999999</v>
      </c>
      <c r="B276" s="5">
        <v>275.89999999999998</v>
      </c>
      <c r="C276">
        <f t="shared" si="11"/>
        <v>0.10158125</v>
      </c>
      <c r="D276">
        <f t="shared" si="12"/>
        <v>15.226269315673287</v>
      </c>
      <c r="E276" s="2"/>
      <c r="F276" s="2"/>
      <c r="G276" s="2"/>
      <c r="H276" s="2"/>
    </row>
    <row r="277" spans="1:8" x14ac:dyDescent="0.3">
      <c r="A277" s="5">
        <v>3.2633999999999999</v>
      </c>
      <c r="B277" s="5">
        <v>253.8</v>
      </c>
      <c r="C277">
        <f t="shared" si="11"/>
        <v>0.10198125</v>
      </c>
      <c r="D277">
        <f t="shared" si="12"/>
        <v>14.006622516556291</v>
      </c>
      <c r="E277" s="2"/>
      <c r="F277" s="2"/>
      <c r="G277" s="2"/>
      <c r="H277" s="2"/>
    </row>
    <row r="278" spans="1:8" x14ac:dyDescent="0.3">
      <c r="A278" s="5">
        <v>3.2774999999999999</v>
      </c>
      <c r="B278" s="5">
        <v>228.1</v>
      </c>
      <c r="C278">
        <f t="shared" si="11"/>
        <v>0.102421875</v>
      </c>
      <c r="D278">
        <f t="shared" si="12"/>
        <v>12.588300220750551</v>
      </c>
      <c r="E278" s="2"/>
      <c r="F278" s="2"/>
      <c r="G278" s="2"/>
      <c r="H278" s="2"/>
    </row>
    <row r="279" spans="1:8" x14ac:dyDescent="0.3">
      <c r="A279" s="5">
        <v>3.2902</v>
      </c>
      <c r="B279" s="5">
        <v>206</v>
      </c>
      <c r="C279">
        <f t="shared" si="11"/>
        <v>0.10281875</v>
      </c>
      <c r="D279">
        <f t="shared" si="12"/>
        <v>11.368653421633553</v>
      </c>
      <c r="E279" s="2"/>
      <c r="F279" s="2"/>
      <c r="G279" s="2"/>
      <c r="H279" s="2"/>
    </row>
    <row r="280" spans="1:8" x14ac:dyDescent="0.3">
      <c r="A280" s="5">
        <v>3.3029000000000002</v>
      </c>
      <c r="B280" s="5">
        <v>187.6</v>
      </c>
      <c r="C280">
        <f t="shared" si="11"/>
        <v>0.10321562500000001</v>
      </c>
      <c r="D280">
        <f t="shared" si="12"/>
        <v>10.353200883002206</v>
      </c>
      <c r="E280" s="2"/>
      <c r="F280" s="2"/>
      <c r="G280" s="2"/>
      <c r="H280" s="2"/>
    </row>
    <row r="281" spans="1:8" x14ac:dyDescent="0.3">
      <c r="A281" s="5">
        <v>3.3155000000000001</v>
      </c>
      <c r="B281" s="5">
        <v>172.9</v>
      </c>
      <c r="C281">
        <f t="shared" ref="C281:C344" si="13">A281/32</f>
        <v>0.103609375</v>
      </c>
      <c r="D281">
        <f t="shared" ref="D281:D344" si="14">B281/(3*6.04)</f>
        <v>9.5419426048565121</v>
      </c>
      <c r="E281" s="2"/>
      <c r="F281" s="2"/>
      <c r="G281" s="2"/>
      <c r="H281" s="2"/>
    </row>
    <row r="282" spans="1:8" x14ac:dyDescent="0.3">
      <c r="A282" s="5">
        <v>3.3300999999999998</v>
      </c>
      <c r="B282" s="5">
        <v>154.5</v>
      </c>
      <c r="C282">
        <f t="shared" si="13"/>
        <v>0.10406562499999999</v>
      </c>
      <c r="D282">
        <f t="shared" si="14"/>
        <v>8.5264900662251648</v>
      </c>
      <c r="E282" s="2"/>
      <c r="F282" s="2"/>
      <c r="G282" s="2"/>
      <c r="H282" s="2"/>
    </row>
    <row r="283" spans="1:8" x14ac:dyDescent="0.3">
      <c r="A283" s="5">
        <v>3.3426</v>
      </c>
      <c r="B283" s="5">
        <v>143.5</v>
      </c>
      <c r="C283">
        <f t="shared" si="13"/>
        <v>0.10445625</v>
      </c>
      <c r="D283">
        <f t="shared" si="14"/>
        <v>7.9194260485651213</v>
      </c>
      <c r="E283" s="2"/>
      <c r="F283" s="2"/>
      <c r="G283" s="2"/>
      <c r="H283" s="2"/>
    </row>
    <row r="284" spans="1:8" x14ac:dyDescent="0.3">
      <c r="A284" s="5">
        <v>3.3553000000000002</v>
      </c>
      <c r="B284" s="5">
        <v>132.4</v>
      </c>
      <c r="C284">
        <f t="shared" si="13"/>
        <v>0.10485312500000001</v>
      </c>
      <c r="D284">
        <f t="shared" si="14"/>
        <v>7.3068432671081673</v>
      </c>
      <c r="E284" s="2"/>
      <c r="F284" s="2"/>
      <c r="G284" s="2"/>
      <c r="H284" s="2"/>
    </row>
    <row r="285" spans="1:8" x14ac:dyDescent="0.3">
      <c r="A285" s="5">
        <v>3.3675999999999999</v>
      </c>
      <c r="B285" s="5">
        <v>117.7</v>
      </c>
      <c r="C285">
        <f t="shared" si="13"/>
        <v>0.1052375</v>
      </c>
      <c r="D285">
        <f t="shared" si="14"/>
        <v>6.4955849889624719</v>
      </c>
      <c r="E285" s="2"/>
      <c r="F285" s="2"/>
      <c r="G285" s="2"/>
      <c r="H285" s="2"/>
    </row>
    <row r="286" spans="1:8" x14ac:dyDescent="0.3">
      <c r="A286" s="5">
        <v>3.3803999999999998</v>
      </c>
      <c r="B286" s="5">
        <v>106.7</v>
      </c>
      <c r="C286">
        <f t="shared" si="13"/>
        <v>0.1056375</v>
      </c>
      <c r="D286">
        <f t="shared" si="14"/>
        <v>5.8885209713024285</v>
      </c>
      <c r="E286" s="2"/>
      <c r="F286" s="2"/>
      <c r="G286" s="2"/>
      <c r="H286" s="2"/>
    </row>
    <row r="287" spans="1:8" x14ac:dyDescent="0.3">
      <c r="A287" s="5">
        <v>3.3948</v>
      </c>
      <c r="B287" s="5">
        <v>95.6</v>
      </c>
      <c r="C287">
        <f t="shared" si="13"/>
        <v>0.1060875</v>
      </c>
      <c r="D287">
        <f t="shared" si="14"/>
        <v>5.2759381898454736</v>
      </c>
      <c r="E287" s="2"/>
      <c r="F287" s="2"/>
      <c r="G287" s="2"/>
      <c r="H287" s="2"/>
    </row>
    <row r="288" spans="1:8" x14ac:dyDescent="0.3">
      <c r="A288" s="5">
        <v>3.4075000000000002</v>
      </c>
      <c r="B288" s="5">
        <v>84.6</v>
      </c>
      <c r="C288">
        <f t="shared" si="13"/>
        <v>0.10648437500000001</v>
      </c>
      <c r="D288">
        <f t="shared" si="14"/>
        <v>4.6688741721854301</v>
      </c>
      <c r="E288" s="2"/>
      <c r="F288" s="2"/>
      <c r="G288" s="2"/>
      <c r="H288" s="2"/>
    </row>
    <row r="289" spans="1:8" x14ac:dyDescent="0.3">
      <c r="A289" s="5">
        <v>3.4203000000000001</v>
      </c>
      <c r="B289" s="5">
        <v>77.3</v>
      </c>
      <c r="C289">
        <f t="shared" si="13"/>
        <v>0.106884375</v>
      </c>
      <c r="D289">
        <f t="shared" si="14"/>
        <v>4.2660044150110368</v>
      </c>
      <c r="E289" s="2"/>
      <c r="F289" s="2"/>
      <c r="G289" s="2"/>
      <c r="H289" s="2"/>
    </row>
    <row r="290" spans="1:8" x14ac:dyDescent="0.3">
      <c r="A290" s="5">
        <v>3.4329000000000001</v>
      </c>
      <c r="B290" s="5">
        <v>66.2</v>
      </c>
      <c r="C290">
        <f t="shared" si="13"/>
        <v>0.107278125</v>
      </c>
      <c r="D290">
        <f t="shared" si="14"/>
        <v>3.6534216335540837</v>
      </c>
      <c r="E290" s="2"/>
      <c r="F290" s="2"/>
      <c r="G290" s="2"/>
      <c r="H290" s="2"/>
    </row>
    <row r="291" spans="1:8" x14ac:dyDescent="0.3">
      <c r="A291" s="5">
        <v>3.4453999999999998</v>
      </c>
      <c r="B291" s="5">
        <v>62.5</v>
      </c>
      <c r="C291">
        <f t="shared" si="13"/>
        <v>0.10766874999999999</v>
      </c>
      <c r="D291">
        <f t="shared" si="14"/>
        <v>3.4492273730684326</v>
      </c>
      <c r="E291" s="2"/>
      <c r="F291" s="2"/>
      <c r="G291" s="2"/>
      <c r="H291" s="2"/>
    </row>
    <row r="292" spans="1:8" x14ac:dyDescent="0.3">
      <c r="A292" s="5">
        <v>3.4597000000000002</v>
      </c>
      <c r="B292" s="5">
        <v>55.2</v>
      </c>
      <c r="C292">
        <f t="shared" si="13"/>
        <v>0.10811562500000001</v>
      </c>
      <c r="D292">
        <f t="shared" si="14"/>
        <v>3.0463576158940397</v>
      </c>
      <c r="E292" s="2"/>
      <c r="F292" s="2"/>
      <c r="G292" s="2"/>
      <c r="H292" s="2"/>
    </row>
    <row r="293" spans="1:8" x14ac:dyDescent="0.3">
      <c r="A293" s="5">
        <v>3.4721000000000002</v>
      </c>
      <c r="B293" s="5">
        <v>51.5</v>
      </c>
      <c r="C293">
        <f t="shared" si="13"/>
        <v>0.10850312500000001</v>
      </c>
      <c r="D293">
        <f t="shared" si="14"/>
        <v>2.8421633554083883</v>
      </c>
      <c r="E293" s="2"/>
      <c r="F293" s="2"/>
      <c r="G293" s="2"/>
      <c r="H293" s="2"/>
    </row>
    <row r="294" spans="1:8" x14ac:dyDescent="0.3">
      <c r="A294" s="5">
        <v>3.4849000000000001</v>
      </c>
      <c r="B294" s="5">
        <v>47.8</v>
      </c>
      <c r="C294">
        <f t="shared" si="13"/>
        <v>0.108903125</v>
      </c>
      <c r="D294">
        <f t="shared" si="14"/>
        <v>2.6379690949227368</v>
      </c>
      <c r="E294" s="2"/>
      <c r="F294" s="2"/>
      <c r="G294" s="2"/>
      <c r="H294" s="2"/>
    </row>
    <row r="295" spans="1:8" x14ac:dyDescent="0.3">
      <c r="A295" s="5">
        <v>3.4975000000000001</v>
      </c>
      <c r="B295" s="5">
        <v>44.1</v>
      </c>
      <c r="C295">
        <f t="shared" si="13"/>
        <v>0.109296875</v>
      </c>
      <c r="D295">
        <f t="shared" si="14"/>
        <v>2.4337748344370862</v>
      </c>
      <c r="E295" s="2"/>
      <c r="F295" s="2"/>
      <c r="G295" s="2"/>
      <c r="H295" s="2"/>
    </row>
    <row r="296" spans="1:8" x14ac:dyDescent="0.3">
      <c r="A296" s="5">
        <v>3.5118</v>
      </c>
      <c r="B296" s="5">
        <v>40.5</v>
      </c>
      <c r="C296">
        <f t="shared" si="13"/>
        <v>0.10974375</v>
      </c>
      <c r="D296">
        <f t="shared" si="14"/>
        <v>2.2350993377483444</v>
      </c>
      <c r="E296" s="2"/>
      <c r="F296" s="2"/>
      <c r="G296" s="2"/>
      <c r="H296" s="2"/>
    </row>
    <row r="297" spans="1:8" x14ac:dyDescent="0.3">
      <c r="A297" s="5">
        <v>3.5244</v>
      </c>
      <c r="B297" s="5">
        <v>36.799999999999997</v>
      </c>
      <c r="C297">
        <f t="shared" si="13"/>
        <v>0.1101375</v>
      </c>
      <c r="D297">
        <f t="shared" si="14"/>
        <v>2.0309050772626929</v>
      </c>
      <c r="E297" s="2"/>
      <c r="F297" s="2"/>
      <c r="G297" s="2"/>
      <c r="H297" s="2"/>
    </row>
    <row r="298" spans="1:8" x14ac:dyDescent="0.3">
      <c r="A298" s="5">
        <v>3.5371999999999999</v>
      </c>
      <c r="B298" s="5">
        <v>33.1</v>
      </c>
      <c r="C298">
        <f t="shared" si="13"/>
        <v>0.1105375</v>
      </c>
      <c r="D298">
        <f t="shared" si="14"/>
        <v>1.8267108167770418</v>
      </c>
      <c r="E298" s="2"/>
      <c r="F298" s="2"/>
      <c r="G298" s="2"/>
      <c r="H298" s="2"/>
    </row>
    <row r="299" spans="1:8" x14ac:dyDescent="0.3">
      <c r="A299" s="5">
        <v>3.5501999999999998</v>
      </c>
      <c r="B299" s="5">
        <v>33.1</v>
      </c>
      <c r="C299">
        <f t="shared" si="13"/>
        <v>0.11094374999999999</v>
      </c>
      <c r="D299">
        <f t="shared" si="14"/>
        <v>1.8267108167770418</v>
      </c>
      <c r="E299" s="2"/>
      <c r="F299" s="2"/>
      <c r="G299" s="2"/>
      <c r="H299" s="2"/>
    </row>
    <row r="300" spans="1:8" x14ac:dyDescent="0.3">
      <c r="A300" s="5">
        <v>3.5629</v>
      </c>
      <c r="B300" s="5">
        <v>29.4</v>
      </c>
      <c r="C300">
        <f t="shared" si="13"/>
        <v>0.111340625</v>
      </c>
      <c r="D300">
        <f t="shared" si="14"/>
        <v>1.6225165562913906</v>
      </c>
      <c r="E300" s="2"/>
      <c r="F300" s="2"/>
      <c r="G300" s="2"/>
      <c r="H300" s="2"/>
    </row>
    <row r="301" spans="1:8" x14ac:dyDescent="0.3">
      <c r="A301" s="5">
        <v>3.5767000000000002</v>
      </c>
      <c r="B301" s="5">
        <v>25.8</v>
      </c>
      <c r="C301">
        <f t="shared" si="13"/>
        <v>0.11177187500000001</v>
      </c>
      <c r="D301">
        <f t="shared" si="14"/>
        <v>1.423841059602649</v>
      </c>
      <c r="E301" s="2"/>
      <c r="F301" s="2"/>
      <c r="G301" s="2"/>
      <c r="H301" s="2"/>
    </row>
    <row r="302" spans="1:8" x14ac:dyDescent="0.3">
      <c r="A302" s="5">
        <v>3.5893000000000002</v>
      </c>
      <c r="B302" s="5">
        <v>25.8</v>
      </c>
      <c r="C302">
        <f t="shared" si="13"/>
        <v>0.112165625</v>
      </c>
      <c r="D302">
        <f t="shared" si="14"/>
        <v>1.423841059602649</v>
      </c>
      <c r="E302" s="2"/>
      <c r="F302" s="2"/>
      <c r="G302" s="2"/>
      <c r="H302" s="2"/>
    </row>
    <row r="303" spans="1:8" x14ac:dyDescent="0.3">
      <c r="A303" s="5">
        <v>3.6021000000000001</v>
      </c>
      <c r="B303" s="5">
        <v>22.1</v>
      </c>
      <c r="C303">
        <f t="shared" si="13"/>
        <v>0.112565625</v>
      </c>
      <c r="D303">
        <f t="shared" si="14"/>
        <v>1.2196467991169979</v>
      </c>
      <c r="E303" s="2"/>
      <c r="F303" s="2"/>
      <c r="G303" s="2"/>
      <c r="H303" s="2"/>
    </row>
    <row r="304" spans="1:8" x14ac:dyDescent="0.3">
      <c r="A304" s="5">
        <v>3.6147999999999998</v>
      </c>
      <c r="B304" s="5">
        <v>22.1</v>
      </c>
      <c r="C304">
        <f t="shared" si="13"/>
        <v>0.11296249999999999</v>
      </c>
      <c r="D304">
        <f t="shared" si="14"/>
        <v>1.2196467991169979</v>
      </c>
      <c r="E304" s="2"/>
      <c r="F304" s="2"/>
      <c r="G304" s="2"/>
      <c r="H304" s="2"/>
    </row>
    <row r="305" spans="1:8" x14ac:dyDescent="0.3">
      <c r="A305" s="5">
        <v>3.629</v>
      </c>
      <c r="B305" s="5">
        <v>18.399999999999999</v>
      </c>
      <c r="C305">
        <f t="shared" si="13"/>
        <v>0.11340625</v>
      </c>
      <c r="D305">
        <f t="shared" si="14"/>
        <v>1.0154525386313464</v>
      </c>
      <c r="E305" s="2"/>
      <c r="F305" s="2"/>
      <c r="G305" s="2"/>
      <c r="H305" s="2"/>
    </row>
    <row r="306" spans="1:8" x14ac:dyDescent="0.3">
      <c r="A306" s="5">
        <v>3.6419000000000001</v>
      </c>
      <c r="B306" s="5">
        <v>18.399999999999999</v>
      </c>
      <c r="C306">
        <f t="shared" si="13"/>
        <v>0.113809375</v>
      </c>
      <c r="D306">
        <f t="shared" si="14"/>
        <v>1.0154525386313464</v>
      </c>
      <c r="E306" s="2"/>
      <c r="F306" s="2"/>
      <c r="G306" s="2"/>
      <c r="H306" s="2"/>
    </row>
    <row r="307" spans="1:8" x14ac:dyDescent="0.3">
      <c r="A307" s="5">
        <v>3.6549</v>
      </c>
      <c r="B307" s="5">
        <v>18.399999999999999</v>
      </c>
      <c r="C307">
        <f t="shared" si="13"/>
        <v>0.114215625</v>
      </c>
      <c r="D307">
        <f t="shared" si="14"/>
        <v>1.0154525386313464</v>
      </c>
      <c r="E307" s="2"/>
      <c r="F307" s="2"/>
      <c r="G307" s="2"/>
      <c r="H307" s="2"/>
    </row>
    <row r="308" spans="1:8" x14ac:dyDescent="0.3">
      <c r="A308" s="5">
        <v>3.6673</v>
      </c>
      <c r="B308" s="5">
        <v>18.399999999999999</v>
      </c>
      <c r="C308">
        <f t="shared" si="13"/>
        <v>0.114603125</v>
      </c>
      <c r="D308">
        <f t="shared" si="14"/>
        <v>1.0154525386313464</v>
      </c>
      <c r="E308" s="2"/>
      <c r="F308" s="2"/>
      <c r="G308" s="2"/>
      <c r="H308" s="2"/>
    </row>
    <row r="309" spans="1:8" x14ac:dyDescent="0.3">
      <c r="A309" s="5">
        <v>3.6797</v>
      </c>
      <c r="B309" s="5">
        <v>18.399999999999999</v>
      </c>
      <c r="C309">
        <f t="shared" si="13"/>
        <v>0.114990625</v>
      </c>
      <c r="D309">
        <f t="shared" si="14"/>
        <v>1.0154525386313464</v>
      </c>
      <c r="E309" s="2"/>
      <c r="F309" s="2"/>
      <c r="G309" s="2"/>
      <c r="H309" s="2"/>
    </row>
    <row r="310" spans="1:8" x14ac:dyDescent="0.3">
      <c r="A310" s="5">
        <v>3.6941999999999999</v>
      </c>
      <c r="B310" s="5">
        <v>18.399999999999999</v>
      </c>
      <c r="C310">
        <f t="shared" si="13"/>
        <v>0.11544375</v>
      </c>
      <c r="D310">
        <f t="shared" si="14"/>
        <v>1.0154525386313464</v>
      </c>
      <c r="E310" s="2"/>
      <c r="F310" s="2"/>
      <c r="G310" s="2"/>
      <c r="H310" s="2"/>
    </row>
    <row r="311" spans="1:8" x14ac:dyDescent="0.3">
      <c r="A311" s="5">
        <v>3.7065999999999999</v>
      </c>
      <c r="B311" s="5">
        <v>14.7</v>
      </c>
      <c r="C311">
        <f t="shared" si="13"/>
        <v>0.11583125</v>
      </c>
      <c r="D311">
        <f t="shared" si="14"/>
        <v>0.81125827814569529</v>
      </c>
      <c r="E311" s="2"/>
      <c r="F311" s="2"/>
      <c r="G311" s="2"/>
      <c r="H311" s="2"/>
    </row>
    <row r="312" spans="1:8" x14ac:dyDescent="0.3">
      <c r="A312" s="5">
        <v>3.7193999999999998</v>
      </c>
      <c r="B312" s="5">
        <v>14.7</v>
      </c>
      <c r="C312">
        <f t="shared" si="13"/>
        <v>0.11623124999999999</v>
      </c>
      <c r="D312">
        <f t="shared" si="14"/>
        <v>0.81125827814569529</v>
      </c>
      <c r="E312" s="2"/>
      <c r="F312" s="2"/>
      <c r="G312" s="2"/>
      <c r="H312" s="2"/>
    </row>
    <row r="313" spans="1:8" x14ac:dyDescent="0.3">
      <c r="A313" s="5">
        <v>3.7319</v>
      </c>
      <c r="B313" s="5">
        <v>14.7</v>
      </c>
      <c r="C313">
        <f t="shared" si="13"/>
        <v>0.116621875</v>
      </c>
      <c r="D313">
        <f t="shared" si="14"/>
        <v>0.81125827814569529</v>
      </c>
      <c r="E313" s="2"/>
      <c r="F313" s="2"/>
      <c r="G313" s="2"/>
      <c r="H313" s="2"/>
    </row>
    <row r="314" spans="1:8" x14ac:dyDescent="0.3">
      <c r="A314" s="5">
        <v>3.7448999999999999</v>
      </c>
      <c r="B314" s="5">
        <v>14.7</v>
      </c>
      <c r="C314">
        <f t="shared" si="13"/>
        <v>0.117028125</v>
      </c>
      <c r="D314">
        <f t="shared" si="14"/>
        <v>0.81125827814569529</v>
      </c>
      <c r="E314" s="2"/>
      <c r="F314" s="2"/>
      <c r="G314" s="2"/>
      <c r="H314" s="2"/>
    </row>
    <row r="315" spans="1:8" x14ac:dyDescent="0.3">
      <c r="A315" s="5">
        <v>3.7593000000000001</v>
      </c>
      <c r="B315" s="5">
        <v>11</v>
      </c>
      <c r="C315">
        <f t="shared" si="13"/>
        <v>0.117478125</v>
      </c>
      <c r="D315">
        <f t="shared" si="14"/>
        <v>0.60706401766004414</v>
      </c>
      <c r="E315" s="2"/>
      <c r="F315" s="2"/>
      <c r="G315" s="2"/>
      <c r="H315" s="2"/>
    </row>
    <row r="316" spans="1:8" x14ac:dyDescent="0.3">
      <c r="A316" s="5">
        <v>3.7721</v>
      </c>
      <c r="B316" s="5">
        <v>11</v>
      </c>
      <c r="C316">
        <f t="shared" si="13"/>
        <v>0.117878125</v>
      </c>
      <c r="D316">
        <f t="shared" si="14"/>
        <v>0.60706401766004414</v>
      </c>
      <c r="E316" s="2"/>
      <c r="F316" s="2"/>
      <c r="G316" s="2"/>
      <c r="H316" s="2"/>
    </row>
    <row r="317" spans="1:8" x14ac:dyDescent="0.3">
      <c r="A317" s="5">
        <v>3.7850000000000001</v>
      </c>
      <c r="B317" s="5">
        <v>11</v>
      </c>
      <c r="C317">
        <f t="shared" si="13"/>
        <v>0.11828125</v>
      </c>
      <c r="D317">
        <f t="shared" si="14"/>
        <v>0.60706401766004414</v>
      </c>
      <c r="E317" s="2"/>
      <c r="F317" s="2"/>
      <c r="G317" s="2"/>
      <c r="H317" s="2"/>
    </row>
    <row r="318" spans="1:8" x14ac:dyDescent="0.3">
      <c r="A318" s="5">
        <v>3.7974999999999999</v>
      </c>
      <c r="B318" s="5">
        <v>11</v>
      </c>
      <c r="C318">
        <f t="shared" si="13"/>
        <v>0.118671875</v>
      </c>
      <c r="D318">
        <f t="shared" si="14"/>
        <v>0.60706401766004414</v>
      </c>
      <c r="E318" s="2"/>
      <c r="F318" s="2"/>
      <c r="G318" s="2"/>
      <c r="H318" s="2"/>
    </row>
    <row r="319" spans="1:8" x14ac:dyDescent="0.3">
      <c r="A319" s="5">
        <v>3.8115999999999999</v>
      </c>
      <c r="B319" s="5">
        <v>11</v>
      </c>
      <c r="C319">
        <f t="shared" si="13"/>
        <v>0.1191125</v>
      </c>
      <c r="D319">
        <f t="shared" si="14"/>
        <v>0.60706401766004414</v>
      </c>
      <c r="E319" s="2"/>
      <c r="F319" s="2"/>
      <c r="G319" s="2"/>
      <c r="H319" s="2"/>
    </row>
    <row r="320" spans="1:8" x14ac:dyDescent="0.3">
      <c r="A320" s="5">
        <v>3.8243</v>
      </c>
      <c r="B320" s="5">
        <v>11</v>
      </c>
      <c r="C320">
        <f t="shared" si="13"/>
        <v>0.119509375</v>
      </c>
      <c r="D320">
        <f t="shared" si="14"/>
        <v>0.60706401766004414</v>
      </c>
      <c r="E320" s="2"/>
      <c r="F320" s="2"/>
      <c r="G320" s="2"/>
      <c r="H320" s="2"/>
    </row>
    <row r="321" spans="1:8" x14ac:dyDescent="0.3">
      <c r="A321" s="5">
        <v>3.8371</v>
      </c>
      <c r="B321" s="5">
        <v>11</v>
      </c>
      <c r="C321">
        <f t="shared" si="13"/>
        <v>0.119909375</v>
      </c>
      <c r="D321">
        <f t="shared" si="14"/>
        <v>0.60706401766004414</v>
      </c>
      <c r="E321" s="2"/>
      <c r="F321" s="2"/>
      <c r="G321" s="2"/>
      <c r="H321" s="2"/>
    </row>
    <row r="322" spans="1:8" x14ac:dyDescent="0.3">
      <c r="A322" s="5">
        <v>3.8494000000000002</v>
      </c>
      <c r="B322" s="5">
        <v>11</v>
      </c>
      <c r="C322">
        <f t="shared" si="13"/>
        <v>0.12029375</v>
      </c>
      <c r="D322">
        <f t="shared" si="14"/>
        <v>0.60706401766004414</v>
      </c>
      <c r="E322" s="2"/>
      <c r="F322" s="2"/>
      <c r="G322" s="2"/>
      <c r="H322" s="2"/>
    </row>
    <row r="323" spans="1:8" x14ac:dyDescent="0.3">
      <c r="A323" s="5">
        <v>3.8618000000000001</v>
      </c>
      <c r="B323" s="5">
        <v>11</v>
      </c>
      <c r="C323">
        <f t="shared" si="13"/>
        <v>0.12068125</v>
      </c>
      <c r="D323">
        <f t="shared" si="14"/>
        <v>0.60706401766004414</v>
      </c>
      <c r="E323" s="2"/>
      <c r="F323" s="2"/>
      <c r="G323" s="2"/>
      <c r="H323" s="2"/>
    </row>
    <row r="324" spans="1:8" x14ac:dyDescent="0.3">
      <c r="A324" s="5">
        <v>3.8761000000000001</v>
      </c>
      <c r="B324" s="5">
        <v>7.4</v>
      </c>
      <c r="C324">
        <f t="shared" si="13"/>
        <v>0.121128125</v>
      </c>
      <c r="D324">
        <f t="shared" si="14"/>
        <v>0.4083885209713024</v>
      </c>
      <c r="E324" s="2"/>
      <c r="F324" s="2"/>
      <c r="G324" s="2"/>
      <c r="H324" s="2"/>
    </row>
    <row r="325" spans="1:8" x14ac:dyDescent="0.3">
      <c r="A325" s="5">
        <v>3.8887</v>
      </c>
      <c r="B325" s="5">
        <v>11</v>
      </c>
      <c r="C325">
        <f t="shared" si="13"/>
        <v>0.121521875</v>
      </c>
      <c r="D325">
        <f t="shared" si="14"/>
        <v>0.60706401766004414</v>
      </c>
      <c r="E325" s="2"/>
      <c r="F325" s="2"/>
      <c r="G325" s="2"/>
      <c r="H325" s="2"/>
    </row>
    <row r="326" spans="1:8" x14ac:dyDescent="0.3">
      <c r="A326" s="5">
        <v>3.9014000000000002</v>
      </c>
      <c r="B326" s="5">
        <v>11</v>
      </c>
      <c r="C326">
        <f t="shared" si="13"/>
        <v>0.12191875000000001</v>
      </c>
      <c r="D326">
        <f t="shared" si="14"/>
        <v>0.60706401766004414</v>
      </c>
      <c r="E326" s="2"/>
      <c r="F326" s="2"/>
      <c r="G326" s="2"/>
      <c r="H326" s="2"/>
    </row>
    <row r="327" spans="1:8" x14ac:dyDescent="0.3">
      <c r="A327" s="5">
        <v>3.9138000000000002</v>
      </c>
      <c r="B327" s="5">
        <v>14.7</v>
      </c>
      <c r="C327">
        <f t="shared" si="13"/>
        <v>0.12230625000000001</v>
      </c>
      <c r="D327">
        <f t="shared" si="14"/>
        <v>0.81125827814569529</v>
      </c>
      <c r="E327" s="2"/>
      <c r="F327" s="2"/>
      <c r="G327" s="2"/>
      <c r="H327" s="2"/>
    </row>
    <row r="328" spans="1:8" x14ac:dyDescent="0.3">
      <c r="A328" s="5">
        <v>3.9283999999999999</v>
      </c>
      <c r="B328" s="5">
        <v>14.7</v>
      </c>
      <c r="C328">
        <f t="shared" si="13"/>
        <v>0.1227625</v>
      </c>
      <c r="D328">
        <f t="shared" si="14"/>
        <v>0.81125827814569529</v>
      </c>
      <c r="E328" s="2"/>
      <c r="F328" s="2"/>
      <c r="G328" s="2"/>
      <c r="H328" s="2"/>
    </row>
    <row r="329" spans="1:8" x14ac:dyDescent="0.3">
      <c r="A329" s="5">
        <v>3.9413</v>
      </c>
      <c r="B329" s="5">
        <v>14.7</v>
      </c>
      <c r="C329">
        <f t="shared" si="13"/>
        <v>0.123165625</v>
      </c>
      <c r="D329">
        <f t="shared" si="14"/>
        <v>0.81125827814569529</v>
      </c>
      <c r="E329" s="2"/>
      <c r="F329" s="2"/>
      <c r="G329" s="2"/>
      <c r="H329" s="2"/>
    </row>
    <row r="330" spans="1:8" x14ac:dyDescent="0.3">
      <c r="A330" s="5">
        <v>3.9537</v>
      </c>
      <c r="B330" s="5">
        <v>14.7</v>
      </c>
      <c r="C330">
        <f t="shared" si="13"/>
        <v>0.123553125</v>
      </c>
      <c r="D330">
        <f t="shared" si="14"/>
        <v>0.81125827814569529</v>
      </c>
      <c r="E330" s="2"/>
      <c r="F330" s="2"/>
      <c r="G330" s="2"/>
      <c r="H330" s="2"/>
    </row>
    <row r="331" spans="1:8" x14ac:dyDescent="0.3">
      <c r="A331" s="5">
        <v>3.9664999999999999</v>
      </c>
      <c r="B331" s="5">
        <v>14.7</v>
      </c>
      <c r="C331">
        <f t="shared" si="13"/>
        <v>0.123953125</v>
      </c>
      <c r="D331">
        <f t="shared" si="14"/>
        <v>0.81125827814569529</v>
      </c>
      <c r="E331" s="2"/>
      <c r="F331" s="2"/>
      <c r="G331" s="2"/>
      <c r="H331" s="2"/>
    </row>
    <row r="332" spans="1:8" x14ac:dyDescent="0.3">
      <c r="A332" s="5">
        <v>3.9790000000000001</v>
      </c>
      <c r="B332" s="5">
        <v>14.7</v>
      </c>
      <c r="C332">
        <f t="shared" si="13"/>
        <v>0.12434375</v>
      </c>
      <c r="D332">
        <f t="shared" si="14"/>
        <v>0.81125827814569529</v>
      </c>
      <c r="E332" s="2"/>
      <c r="F332" s="2"/>
      <c r="G332" s="2"/>
      <c r="H332" s="2"/>
    </row>
    <row r="333" spans="1:8" x14ac:dyDescent="0.3">
      <c r="A333" s="5">
        <v>3.9933000000000001</v>
      </c>
      <c r="B333" s="5">
        <v>14.7</v>
      </c>
      <c r="C333">
        <f t="shared" si="13"/>
        <v>0.124790625</v>
      </c>
      <c r="D333">
        <f t="shared" si="14"/>
        <v>0.81125827814569529</v>
      </c>
      <c r="E333" s="2"/>
      <c r="F333" s="2"/>
      <c r="G333" s="2"/>
      <c r="H333" s="2"/>
    </row>
    <row r="334" spans="1:8" x14ac:dyDescent="0.3">
      <c r="A334" s="5">
        <v>4.0061</v>
      </c>
      <c r="B334" s="5">
        <v>14.7</v>
      </c>
      <c r="C334">
        <f t="shared" si="13"/>
        <v>0.125190625</v>
      </c>
      <c r="D334">
        <f t="shared" si="14"/>
        <v>0.81125827814569529</v>
      </c>
      <c r="E334" s="2"/>
      <c r="F334" s="2"/>
      <c r="G334" s="2"/>
      <c r="H334" s="2"/>
    </row>
    <row r="335" spans="1:8" x14ac:dyDescent="0.3">
      <c r="A335" s="5">
        <v>4.0183</v>
      </c>
      <c r="B335" s="5">
        <v>14.7</v>
      </c>
      <c r="C335">
        <f t="shared" si="13"/>
        <v>0.125571875</v>
      </c>
      <c r="D335">
        <f t="shared" si="14"/>
        <v>0.81125827814569529</v>
      </c>
      <c r="E335" s="2"/>
      <c r="F335" s="2"/>
      <c r="G335" s="2"/>
      <c r="H335" s="2"/>
    </row>
    <row r="336" spans="1:8" x14ac:dyDescent="0.3">
      <c r="A336" s="5">
        <v>4.0313999999999997</v>
      </c>
      <c r="B336" s="5">
        <v>14.7</v>
      </c>
      <c r="C336">
        <f t="shared" si="13"/>
        <v>0.12598124999999999</v>
      </c>
      <c r="D336">
        <f t="shared" si="14"/>
        <v>0.81125827814569529</v>
      </c>
      <c r="E336" s="2"/>
      <c r="F336" s="2"/>
      <c r="G336" s="2"/>
      <c r="H336" s="2"/>
    </row>
    <row r="337" spans="1:8" x14ac:dyDescent="0.3">
      <c r="A337" s="5">
        <v>4.0438000000000001</v>
      </c>
      <c r="B337" s="5">
        <v>14.7</v>
      </c>
      <c r="C337">
        <f t="shared" si="13"/>
        <v>0.12636875</v>
      </c>
      <c r="D337">
        <f t="shared" si="14"/>
        <v>0.81125827814569529</v>
      </c>
      <c r="E337" s="2"/>
      <c r="F337" s="2"/>
      <c r="G337" s="2"/>
      <c r="H337" s="2"/>
    </row>
    <row r="338" spans="1:8" x14ac:dyDescent="0.3">
      <c r="A338" s="5">
        <v>4.0582000000000003</v>
      </c>
      <c r="B338" s="5">
        <v>14.7</v>
      </c>
      <c r="C338">
        <f t="shared" si="13"/>
        <v>0.12681875000000001</v>
      </c>
      <c r="D338">
        <f t="shared" si="14"/>
        <v>0.81125827814569529</v>
      </c>
      <c r="E338" s="2"/>
      <c r="F338" s="2"/>
      <c r="G338" s="2"/>
      <c r="H338" s="2"/>
    </row>
    <row r="339" spans="1:8" x14ac:dyDescent="0.3">
      <c r="A339" s="5">
        <v>4.0709</v>
      </c>
      <c r="B339" s="5">
        <v>14.7</v>
      </c>
      <c r="C339">
        <f t="shared" si="13"/>
        <v>0.127215625</v>
      </c>
      <c r="D339">
        <f t="shared" si="14"/>
        <v>0.81125827814569529</v>
      </c>
      <c r="E339" s="2"/>
      <c r="F339" s="2"/>
      <c r="G339" s="2"/>
      <c r="H339" s="2"/>
    </row>
    <row r="340" spans="1:8" x14ac:dyDescent="0.3">
      <c r="A340" s="5">
        <v>4.0835999999999997</v>
      </c>
      <c r="B340" s="5">
        <v>14.7</v>
      </c>
      <c r="C340">
        <f t="shared" si="13"/>
        <v>0.12761249999999999</v>
      </c>
      <c r="D340">
        <f t="shared" si="14"/>
        <v>0.81125827814569529</v>
      </c>
      <c r="E340" s="2"/>
      <c r="F340" s="2"/>
      <c r="G340" s="2"/>
      <c r="H340" s="2"/>
    </row>
    <row r="341" spans="1:8" x14ac:dyDescent="0.3">
      <c r="A341" s="5">
        <v>4.0965999999999996</v>
      </c>
      <c r="B341" s="5">
        <v>14.7</v>
      </c>
      <c r="C341">
        <f t="shared" si="13"/>
        <v>0.12801874999999999</v>
      </c>
      <c r="D341">
        <f t="shared" si="14"/>
        <v>0.81125827814569529</v>
      </c>
      <c r="E341" s="2"/>
      <c r="F341" s="2"/>
      <c r="G341" s="2"/>
      <c r="H341" s="2"/>
    </row>
    <row r="342" spans="1:8" x14ac:dyDescent="0.3">
      <c r="A342" s="5">
        <v>4.1109</v>
      </c>
      <c r="B342" s="5">
        <v>11</v>
      </c>
      <c r="C342">
        <f t="shared" si="13"/>
        <v>0.128465625</v>
      </c>
      <c r="D342">
        <f t="shared" si="14"/>
        <v>0.60706401766004414</v>
      </c>
      <c r="E342" s="2"/>
      <c r="F342" s="2"/>
      <c r="G342" s="2"/>
      <c r="H342" s="2"/>
    </row>
    <row r="343" spans="1:8" x14ac:dyDescent="0.3">
      <c r="A343" s="5">
        <v>4.1235999999999997</v>
      </c>
      <c r="B343" s="5">
        <v>11</v>
      </c>
      <c r="C343">
        <f t="shared" si="13"/>
        <v>0.12886249999999999</v>
      </c>
      <c r="D343">
        <f t="shared" si="14"/>
        <v>0.60706401766004414</v>
      </c>
      <c r="E343" s="2"/>
      <c r="F343" s="2"/>
      <c r="G343" s="2"/>
      <c r="H343" s="2"/>
    </row>
    <row r="344" spans="1:8" x14ac:dyDescent="0.3">
      <c r="A344" s="5">
        <v>4.1364000000000001</v>
      </c>
      <c r="B344" s="5">
        <v>11</v>
      </c>
      <c r="C344">
        <f t="shared" si="13"/>
        <v>0.1292625</v>
      </c>
      <c r="D344">
        <f t="shared" si="14"/>
        <v>0.60706401766004414</v>
      </c>
      <c r="E344" s="2"/>
      <c r="F344" s="2"/>
      <c r="G344" s="2"/>
      <c r="H344" s="2"/>
    </row>
    <row r="345" spans="1:8" x14ac:dyDescent="0.3">
      <c r="A345" s="5">
        <v>4.1489000000000003</v>
      </c>
      <c r="B345" s="5">
        <v>14.7</v>
      </c>
      <c r="C345">
        <f t="shared" ref="C345:C382" si="15">A345/32</f>
        <v>0.12965312500000001</v>
      </c>
      <c r="D345">
        <f t="shared" ref="D345:D382" si="16">B345/(3*6.04)</f>
        <v>0.81125827814569529</v>
      </c>
      <c r="E345" s="2"/>
      <c r="F345" s="2"/>
      <c r="G345" s="2"/>
      <c r="H345" s="2"/>
    </row>
    <row r="346" spans="1:8" x14ac:dyDescent="0.3">
      <c r="A346" s="5">
        <v>4.1615000000000002</v>
      </c>
      <c r="B346" s="5">
        <v>14.7</v>
      </c>
      <c r="C346">
        <f t="shared" si="15"/>
        <v>0.13004687500000001</v>
      </c>
      <c r="D346">
        <f t="shared" si="16"/>
        <v>0.81125827814569529</v>
      </c>
      <c r="E346" s="2"/>
      <c r="F346" s="2"/>
      <c r="G346" s="2"/>
      <c r="H346" s="2"/>
    </row>
    <row r="347" spans="1:8" x14ac:dyDescent="0.3">
      <c r="A347" s="5">
        <v>4.1757999999999997</v>
      </c>
      <c r="B347" s="5">
        <v>11</v>
      </c>
      <c r="C347">
        <f t="shared" si="15"/>
        <v>0.13049374999999999</v>
      </c>
      <c r="D347">
        <f t="shared" si="16"/>
        <v>0.60706401766004414</v>
      </c>
      <c r="E347" s="2"/>
      <c r="F347" s="2"/>
      <c r="G347" s="2"/>
      <c r="H347" s="2"/>
    </row>
    <row r="348" spans="1:8" x14ac:dyDescent="0.3">
      <c r="A348" s="5">
        <v>4.1883999999999997</v>
      </c>
      <c r="B348" s="5">
        <v>11</v>
      </c>
      <c r="C348">
        <f t="shared" si="15"/>
        <v>0.13088749999999999</v>
      </c>
      <c r="D348">
        <f t="shared" si="16"/>
        <v>0.60706401766004414</v>
      </c>
      <c r="E348" s="2"/>
      <c r="F348" s="2"/>
      <c r="G348" s="2"/>
      <c r="H348" s="2"/>
    </row>
    <row r="349" spans="1:8" x14ac:dyDescent="0.3">
      <c r="A349" s="5">
        <v>4.2011000000000003</v>
      </c>
      <c r="B349" s="5">
        <v>11</v>
      </c>
      <c r="C349">
        <f t="shared" si="15"/>
        <v>0.13128437500000001</v>
      </c>
      <c r="D349">
        <f t="shared" si="16"/>
        <v>0.60706401766004414</v>
      </c>
      <c r="E349" s="2"/>
      <c r="F349" s="2"/>
      <c r="G349" s="2"/>
      <c r="H349" s="2"/>
    </row>
    <row r="350" spans="1:8" x14ac:dyDescent="0.3">
      <c r="A350" s="5">
        <v>4.2138</v>
      </c>
      <c r="B350" s="5">
        <v>11</v>
      </c>
      <c r="C350">
        <f t="shared" si="15"/>
        <v>0.13168125</v>
      </c>
      <c r="D350">
        <f t="shared" si="16"/>
        <v>0.60706401766004414</v>
      </c>
      <c r="E350" s="2"/>
      <c r="F350" s="2"/>
      <c r="G350" s="2"/>
      <c r="H350" s="2"/>
    </row>
    <row r="351" spans="1:8" x14ac:dyDescent="0.3">
      <c r="A351" s="5">
        <v>4.2281000000000004</v>
      </c>
      <c r="B351" s="5">
        <v>11</v>
      </c>
      <c r="C351">
        <f t="shared" si="15"/>
        <v>0.13212812500000001</v>
      </c>
      <c r="D351">
        <f t="shared" si="16"/>
        <v>0.60706401766004414</v>
      </c>
      <c r="E351" s="2"/>
      <c r="F351" s="2"/>
      <c r="G351" s="2"/>
      <c r="H351" s="2"/>
    </row>
    <row r="352" spans="1:8" x14ac:dyDescent="0.3">
      <c r="A352" s="5">
        <v>4.2404999999999999</v>
      </c>
      <c r="B352" s="5">
        <v>7.4</v>
      </c>
      <c r="C352">
        <f t="shared" si="15"/>
        <v>0.132515625</v>
      </c>
      <c r="D352">
        <f t="shared" si="16"/>
        <v>0.4083885209713024</v>
      </c>
      <c r="E352" s="2"/>
      <c r="F352" s="2"/>
      <c r="G352" s="2"/>
      <c r="H352" s="2"/>
    </row>
    <row r="353" spans="1:8" x14ac:dyDescent="0.3">
      <c r="A353" s="5">
        <v>4.2534000000000001</v>
      </c>
      <c r="B353" s="5">
        <v>7.4</v>
      </c>
      <c r="C353">
        <f t="shared" si="15"/>
        <v>0.13291875</v>
      </c>
      <c r="D353">
        <f t="shared" si="16"/>
        <v>0.4083885209713024</v>
      </c>
      <c r="E353" s="2"/>
      <c r="F353" s="2"/>
      <c r="G353" s="2"/>
      <c r="H353" s="2"/>
    </row>
    <row r="354" spans="1:8" x14ac:dyDescent="0.3">
      <c r="A354" s="5">
        <v>4.266</v>
      </c>
      <c r="B354" s="5">
        <v>7.4</v>
      </c>
      <c r="C354">
        <f t="shared" si="15"/>
        <v>0.1333125</v>
      </c>
      <c r="D354">
        <f t="shared" si="16"/>
        <v>0.4083885209713024</v>
      </c>
      <c r="E354" s="2"/>
      <c r="F354" s="2"/>
      <c r="G354" s="2"/>
      <c r="H354" s="2"/>
    </row>
    <row r="355" spans="1:8" x14ac:dyDescent="0.3">
      <c r="A355" s="5">
        <v>4.2786</v>
      </c>
      <c r="B355" s="5">
        <v>11</v>
      </c>
      <c r="C355">
        <f t="shared" si="15"/>
        <v>0.13370625</v>
      </c>
      <c r="D355">
        <f t="shared" si="16"/>
        <v>0.60706401766004414</v>
      </c>
      <c r="E355" s="2"/>
      <c r="F355" s="2"/>
      <c r="G355" s="2"/>
      <c r="H355" s="2"/>
    </row>
    <row r="356" spans="1:8" x14ac:dyDescent="0.3">
      <c r="A356" s="5">
        <v>4.2930000000000001</v>
      </c>
      <c r="B356" s="5">
        <v>11</v>
      </c>
      <c r="C356">
        <f t="shared" si="15"/>
        <v>0.13415625</v>
      </c>
      <c r="D356">
        <f t="shared" si="16"/>
        <v>0.60706401766004414</v>
      </c>
      <c r="E356" s="2"/>
      <c r="F356" s="2"/>
      <c r="G356" s="2"/>
      <c r="H356" s="2"/>
    </row>
    <row r="357" spans="1:8" x14ac:dyDescent="0.3">
      <c r="A357" s="5">
        <v>4.3057999999999996</v>
      </c>
      <c r="B357" s="5">
        <v>11</v>
      </c>
      <c r="C357">
        <f t="shared" si="15"/>
        <v>0.13455624999999999</v>
      </c>
      <c r="D357">
        <f t="shared" si="16"/>
        <v>0.60706401766004414</v>
      </c>
      <c r="E357" s="2"/>
      <c r="F357" s="2"/>
      <c r="G357" s="2"/>
      <c r="H357" s="2"/>
    </row>
    <row r="358" spans="1:8" x14ac:dyDescent="0.3">
      <c r="A358" s="5">
        <v>4.3186</v>
      </c>
      <c r="B358" s="5">
        <v>7.4</v>
      </c>
      <c r="C358">
        <f t="shared" si="15"/>
        <v>0.13495625</v>
      </c>
      <c r="D358">
        <f t="shared" si="16"/>
        <v>0.4083885209713024</v>
      </c>
      <c r="E358" s="2"/>
      <c r="F358" s="2"/>
      <c r="G358" s="2"/>
      <c r="H358" s="2"/>
    </row>
    <row r="359" spans="1:8" x14ac:dyDescent="0.3">
      <c r="A359" s="5">
        <v>4.3311999999999999</v>
      </c>
      <c r="B359" s="5">
        <v>7.4</v>
      </c>
      <c r="C359">
        <f t="shared" si="15"/>
        <v>0.13535</v>
      </c>
      <c r="D359">
        <f t="shared" si="16"/>
        <v>0.4083885209713024</v>
      </c>
      <c r="E359" s="2"/>
      <c r="F359" s="2"/>
      <c r="G359" s="2"/>
      <c r="H359" s="2"/>
    </row>
    <row r="360" spans="1:8" x14ac:dyDescent="0.3">
      <c r="A360" s="5">
        <v>4.3437999999999999</v>
      </c>
      <c r="B360" s="5">
        <v>7.4</v>
      </c>
      <c r="C360">
        <f t="shared" si="15"/>
        <v>0.13574375</v>
      </c>
      <c r="D360">
        <f t="shared" si="16"/>
        <v>0.4083885209713024</v>
      </c>
      <c r="E360" s="2"/>
      <c r="F360" s="2"/>
      <c r="G360" s="2"/>
      <c r="H360" s="2"/>
    </row>
    <row r="361" spans="1:8" x14ac:dyDescent="0.3">
      <c r="A361" s="5">
        <v>4.3578999999999999</v>
      </c>
      <c r="B361" s="5">
        <v>7.4</v>
      </c>
      <c r="C361">
        <f t="shared" si="15"/>
        <v>0.136184375</v>
      </c>
      <c r="D361">
        <f t="shared" si="16"/>
        <v>0.4083885209713024</v>
      </c>
      <c r="E361" s="2"/>
      <c r="F361" s="2"/>
      <c r="G361" s="2"/>
      <c r="H361" s="2"/>
    </row>
    <row r="362" spans="1:8" x14ac:dyDescent="0.3">
      <c r="A362" s="5">
        <v>4.3705999999999996</v>
      </c>
      <c r="B362" s="5">
        <v>3.7</v>
      </c>
      <c r="C362">
        <f t="shared" si="15"/>
        <v>0.13658124999999999</v>
      </c>
      <c r="D362">
        <f t="shared" si="16"/>
        <v>0.2041942604856512</v>
      </c>
      <c r="E362" s="2"/>
      <c r="F362" s="2"/>
      <c r="G362" s="2"/>
      <c r="H362" s="2"/>
    </row>
    <row r="363" spans="1:8" x14ac:dyDescent="0.3">
      <c r="A363" s="5">
        <v>4.3832000000000004</v>
      </c>
      <c r="B363" s="5">
        <v>3.7</v>
      </c>
      <c r="C363">
        <f t="shared" si="15"/>
        <v>0.13697500000000001</v>
      </c>
      <c r="D363">
        <f t="shared" si="16"/>
        <v>0.2041942604856512</v>
      </c>
      <c r="E363" s="2"/>
      <c r="F363" s="2"/>
      <c r="G363" s="2"/>
      <c r="H363" s="2"/>
    </row>
    <row r="364" spans="1:8" x14ac:dyDescent="0.3">
      <c r="A364" s="5">
        <v>4.3956999999999997</v>
      </c>
      <c r="B364" s="5">
        <v>7.4</v>
      </c>
      <c r="C364">
        <f t="shared" si="15"/>
        <v>0.13736562499999999</v>
      </c>
      <c r="D364">
        <f t="shared" si="16"/>
        <v>0.4083885209713024</v>
      </c>
      <c r="E364" s="2"/>
      <c r="F364" s="2"/>
      <c r="G364" s="2"/>
      <c r="H364" s="2"/>
    </row>
    <row r="365" spans="1:8" x14ac:dyDescent="0.3">
      <c r="A365" s="5">
        <v>4.41</v>
      </c>
      <c r="B365" s="5">
        <v>7.4</v>
      </c>
      <c r="C365">
        <f t="shared" si="15"/>
        <v>0.1378125</v>
      </c>
      <c r="D365">
        <f t="shared" si="16"/>
        <v>0.4083885209713024</v>
      </c>
      <c r="E365" s="2"/>
      <c r="F365" s="2"/>
      <c r="G365" s="2"/>
      <c r="H365" s="2"/>
    </row>
    <row r="366" spans="1:8" x14ac:dyDescent="0.3">
      <c r="A366" s="5">
        <v>4.4229000000000003</v>
      </c>
      <c r="B366" s="5">
        <v>7.4</v>
      </c>
      <c r="C366">
        <f t="shared" si="15"/>
        <v>0.13821562500000001</v>
      </c>
      <c r="D366">
        <f t="shared" si="16"/>
        <v>0.4083885209713024</v>
      </c>
      <c r="E366" s="2"/>
      <c r="F366" s="2"/>
      <c r="G366" s="2"/>
      <c r="H366" s="2"/>
    </row>
    <row r="367" spans="1:8" x14ac:dyDescent="0.3">
      <c r="A367" s="5">
        <v>4.4353999999999996</v>
      </c>
      <c r="B367" s="5">
        <v>11</v>
      </c>
      <c r="C367">
        <f t="shared" si="15"/>
        <v>0.13860624999999999</v>
      </c>
      <c r="D367">
        <f t="shared" si="16"/>
        <v>0.60706401766004414</v>
      </c>
      <c r="E367" s="2"/>
      <c r="F367" s="2"/>
      <c r="G367" s="2"/>
      <c r="H367" s="2"/>
    </row>
    <row r="368" spans="1:8" x14ac:dyDescent="0.3">
      <c r="A368" s="5">
        <v>4.4482999999999997</v>
      </c>
      <c r="B368" s="5">
        <v>11</v>
      </c>
      <c r="C368">
        <f t="shared" si="15"/>
        <v>0.13900937499999999</v>
      </c>
      <c r="D368">
        <f t="shared" si="16"/>
        <v>0.60706401766004414</v>
      </c>
      <c r="E368" s="2"/>
      <c r="F368" s="2"/>
      <c r="G368" s="2"/>
      <c r="H368" s="2"/>
    </row>
    <row r="369" spans="1:10" x14ac:dyDescent="0.3">
      <c r="A369" s="5">
        <v>4.4607000000000001</v>
      </c>
      <c r="B369" s="5">
        <v>7.4</v>
      </c>
      <c r="C369">
        <f t="shared" si="15"/>
        <v>0.139396875</v>
      </c>
      <c r="D369">
        <f t="shared" si="16"/>
        <v>0.4083885209713024</v>
      </c>
      <c r="E369" s="2"/>
      <c r="F369" s="2"/>
      <c r="G369" s="2"/>
      <c r="H369" s="2"/>
    </row>
    <row r="370" spans="1:10" x14ac:dyDescent="0.3">
      <c r="A370" s="5">
        <v>4.4748000000000001</v>
      </c>
      <c r="B370" s="5">
        <v>7.4</v>
      </c>
      <c r="C370">
        <f t="shared" si="15"/>
        <v>0.1398375</v>
      </c>
      <c r="D370">
        <f t="shared" si="16"/>
        <v>0.4083885209713024</v>
      </c>
      <c r="E370" s="2"/>
      <c r="F370" s="2"/>
      <c r="G370" s="2"/>
      <c r="H370" s="2"/>
    </row>
    <row r="371" spans="1:10" x14ac:dyDescent="0.3">
      <c r="A371" s="5">
        <v>4.4878</v>
      </c>
      <c r="B371" s="5">
        <v>7.4</v>
      </c>
      <c r="C371">
        <f t="shared" si="15"/>
        <v>0.14024375</v>
      </c>
      <c r="D371">
        <f t="shared" si="16"/>
        <v>0.4083885209713024</v>
      </c>
      <c r="E371" s="2"/>
      <c r="F371" s="2"/>
      <c r="G371" s="2"/>
      <c r="H371" s="2"/>
    </row>
    <row r="372" spans="1:10" x14ac:dyDescent="0.3">
      <c r="A372" s="5">
        <v>4.5003000000000002</v>
      </c>
      <c r="B372" s="5">
        <v>7.4</v>
      </c>
      <c r="C372">
        <f t="shared" si="15"/>
        <v>0.14063437500000001</v>
      </c>
      <c r="D372">
        <f t="shared" si="16"/>
        <v>0.4083885209713024</v>
      </c>
      <c r="E372" s="2"/>
      <c r="F372" s="2"/>
      <c r="G372" s="2"/>
      <c r="H372" s="2"/>
    </row>
    <row r="373" spans="1:10" x14ac:dyDescent="0.3">
      <c r="A373" s="5">
        <v>4.5130999999999997</v>
      </c>
      <c r="B373" s="5">
        <v>7.4</v>
      </c>
      <c r="C373">
        <f t="shared" si="15"/>
        <v>0.14103437499999999</v>
      </c>
      <c r="D373">
        <f t="shared" si="16"/>
        <v>0.4083885209713024</v>
      </c>
      <c r="E373" s="2"/>
      <c r="F373" s="2"/>
      <c r="G373" s="2"/>
      <c r="H373" s="2"/>
    </row>
    <row r="374" spans="1:10" x14ac:dyDescent="0.3">
      <c r="A374" s="5">
        <v>4.5258000000000003</v>
      </c>
      <c r="B374" s="5">
        <v>7.4</v>
      </c>
      <c r="C374">
        <f t="shared" si="15"/>
        <v>0.14143125000000001</v>
      </c>
      <c r="D374">
        <f t="shared" si="16"/>
        <v>0.4083885209713024</v>
      </c>
      <c r="E374" s="2"/>
      <c r="F374" s="2"/>
      <c r="G374" s="2"/>
      <c r="H374" s="2"/>
    </row>
    <row r="375" spans="1:10" x14ac:dyDescent="0.3">
      <c r="A375" s="5">
        <v>4.5400999999999998</v>
      </c>
      <c r="B375" s="5">
        <v>7.4</v>
      </c>
      <c r="C375">
        <f t="shared" si="15"/>
        <v>0.14187812499999999</v>
      </c>
      <c r="D375">
        <f t="shared" si="16"/>
        <v>0.4083885209713024</v>
      </c>
      <c r="E375" s="2"/>
      <c r="F375" s="2"/>
      <c r="G375" s="2"/>
      <c r="H375" s="2"/>
    </row>
    <row r="376" spans="1:10" x14ac:dyDescent="0.3">
      <c r="A376" s="5">
        <v>4.5529999999999999</v>
      </c>
      <c r="B376" s="5">
        <v>7.4</v>
      </c>
      <c r="C376">
        <f t="shared" si="15"/>
        <v>0.14228125</v>
      </c>
      <c r="D376">
        <f t="shared" si="16"/>
        <v>0.4083885209713024</v>
      </c>
      <c r="E376" s="2"/>
      <c r="F376" s="2"/>
      <c r="G376" s="2"/>
      <c r="H376" s="2"/>
    </row>
    <row r="377" spans="1:10" x14ac:dyDescent="0.3">
      <c r="A377" s="5">
        <v>4.5655000000000001</v>
      </c>
      <c r="B377" s="5">
        <v>7.4</v>
      </c>
      <c r="C377">
        <f t="shared" si="15"/>
        <v>0.142671875</v>
      </c>
      <c r="D377">
        <f t="shared" si="16"/>
        <v>0.4083885209713024</v>
      </c>
      <c r="E377" s="2"/>
      <c r="F377" s="2"/>
      <c r="G377" s="2"/>
      <c r="H377" s="2"/>
    </row>
    <row r="378" spans="1:10" x14ac:dyDescent="0.3">
      <c r="A378" s="5">
        <v>4.5785999999999998</v>
      </c>
      <c r="B378" s="5">
        <v>7.4</v>
      </c>
      <c r="C378">
        <f t="shared" si="15"/>
        <v>0.14308124999999999</v>
      </c>
      <c r="D378">
        <f t="shared" si="16"/>
        <v>0.4083885209713024</v>
      </c>
      <c r="E378" s="2"/>
      <c r="F378" s="2"/>
      <c r="G378" s="2"/>
      <c r="H378" s="2"/>
    </row>
    <row r="379" spans="1:10" x14ac:dyDescent="0.3">
      <c r="A379" s="5">
        <v>4.5926</v>
      </c>
      <c r="B379" s="5">
        <v>7.4</v>
      </c>
      <c r="C379">
        <f t="shared" si="15"/>
        <v>0.14351875</v>
      </c>
      <c r="D379">
        <f t="shared" si="16"/>
        <v>0.4083885209713024</v>
      </c>
      <c r="E379" s="2"/>
      <c r="F379" s="2"/>
      <c r="G379" s="2"/>
      <c r="H379" s="2"/>
    </row>
    <row r="380" spans="1:10" x14ac:dyDescent="0.3">
      <c r="A380" s="5">
        <v>4.6054000000000004</v>
      </c>
      <c r="B380" s="5">
        <v>7.4</v>
      </c>
      <c r="C380">
        <f t="shared" si="15"/>
        <v>0.14391875000000001</v>
      </c>
      <c r="D380">
        <f t="shared" si="16"/>
        <v>0.4083885209713024</v>
      </c>
      <c r="E380" s="2"/>
      <c r="F380" s="2"/>
      <c r="G380" s="2"/>
      <c r="H380" s="2"/>
    </row>
    <row r="381" spans="1:10" x14ac:dyDescent="0.3">
      <c r="A381" s="5">
        <v>4.6181000000000001</v>
      </c>
      <c r="B381" s="5">
        <v>7.4</v>
      </c>
      <c r="C381">
        <f t="shared" si="15"/>
        <v>0.144315625</v>
      </c>
      <c r="D381">
        <f t="shared" si="16"/>
        <v>0.4083885209713024</v>
      </c>
      <c r="E381" s="2"/>
      <c r="F381" s="2"/>
      <c r="G381" s="2"/>
      <c r="H381" s="2"/>
    </row>
    <row r="382" spans="1:10" x14ac:dyDescent="0.3">
      <c r="A382" s="5">
        <v>4.6307</v>
      </c>
      <c r="B382" s="5">
        <v>3.7</v>
      </c>
      <c r="C382">
        <f t="shared" si="15"/>
        <v>0.144709375</v>
      </c>
      <c r="D382">
        <f t="shared" si="16"/>
        <v>0.2041942604856512</v>
      </c>
      <c r="E382" s="2"/>
      <c r="F382" s="2"/>
      <c r="G382" s="2"/>
      <c r="H382" s="2"/>
    </row>
    <row r="383" spans="1:10" x14ac:dyDescent="0.3">
      <c r="A383" s="5"/>
      <c r="B383" s="5"/>
      <c r="C383" s="2"/>
      <c r="D383" s="2"/>
      <c r="E383" s="2"/>
      <c r="F383" s="2"/>
      <c r="G383" s="2"/>
      <c r="H383" s="2"/>
      <c r="I383" s="2"/>
      <c r="J383" s="2"/>
    </row>
  </sheetData>
  <mergeCells count="9">
    <mergeCell ref="M4:T27"/>
    <mergeCell ref="A1:J1"/>
    <mergeCell ref="B2:J2"/>
    <mergeCell ref="A3:J3"/>
    <mergeCell ref="A8:B8"/>
    <mergeCell ref="A12:B12"/>
    <mergeCell ref="A15:B15"/>
    <mergeCell ref="A18:B18"/>
    <mergeCell ref="A22:B22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SMT Data Report</vt:lpstr>
      <vt:lpstr>Sheet2</vt:lpstr>
      <vt:lpstr>Sheet3</vt:lpstr>
    </vt:vector>
  </TitlesOfParts>
  <Company>SUT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akhgar</dc:creator>
  <cp:lastModifiedBy>ASUS</cp:lastModifiedBy>
  <dcterms:created xsi:type="dcterms:W3CDTF">2024-10-14T14:05:45Z</dcterms:created>
  <dcterms:modified xsi:type="dcterms:W3CDTF">2024-10-27T10:59:31Z</dcterms:modified>
</cp:coreProperties>
</file>