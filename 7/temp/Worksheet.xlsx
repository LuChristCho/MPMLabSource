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ocuments\EDU\MPMLab\7\temp\"/>
    </mc:Choice>
  </mc:AlternateContent>
  <xr:revisionPtr revIDLastSave="0" documentId="13_ncr:1_{1EAB6BF2-5C17-40C4-B45D-83E6E5EE2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  <c r="B26" i="1"/>
  <c r="B25" i="1"/>
  <c r="B24" i="1"/>
  <c r="B23" i="1"/>
  <c r="B22" i="1"/>
  <c r="B21" i="1"/>
  <c r="B20" i="1"/>
  <c r="C16" i="1"/>
  <c r="D16" i="1"/>
  <c r="E16" i="1"/>
  <c r="F16" i="1"/>
  <c r="G16" i="1"/>
  <c r="H16" i="1"/>
  <c r="I16" i="1"/>
  <c r="B16" i="1"/>
  <c r="C11" i="1"/>
  <c r="D11" i="1"/>
  <c r="E11" i="1"/>
  <c r="F11" i="1"/>
  <c r="G11" i="1"/>
  <c r="H11" i="1"/>
  <c r="I11" i="1"/>
  <c r="B11" i="1"/>
</calcChain>
</file>

<file path=xl/sharedStrings.xml><?xml version="1.0" encoding="utf-8"?>
<sst xmlns="http://schemas.openxmlformats.org/spreadsheetml/2006/main" count="9" uniqueCount="6">
  <si>
    <t>T_f (min)</t>
  </si>
  <si>
    <t>N</t>
  </si>
  <si>
    <t>Sample Number</t>
  </si>
  <si>
    <t>M (N.mm)</t>
  </si>
  <si>
    <t>d (mm)</t>
  </si>
  <si>
    <t>Fracture 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</si>
</sst>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299466316710411"/>
                  <c:y val="3.17297317002041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Sheet1!$B$20:$B$27</c:f>
              <c:numCache>
                <c:formatCode>General</c:formatCode>
                <c:ptCount val="8"/>
                <c:pt idx="0">
                  <c:v>2850</c:v>
                </c:pt>
                <c:pt idx="1">
                  <c:v>5700</c:v>
                </c:pt>
                <c:pt idx="2">
                  <c:v>8550</c:v>
                </c:pt>
                <c:pt idx="3">
                  <c:v>11400</c:v>
                </c:pt>
                <c:pt idx="4">
                  <c:v>14250</c:v>
                </c:pt>
                <c:pt idx="5">
                  <c:v>17100</c:v>
                </c:pt>
                <c:pt idx="6">
                  <c:v>19950</c:v>
                </c:pt>
                <c:pt idx="7">
                  <c:v>22800</c:v>
                </c:pt>
              </c:numCache>
            </c:numRef>
          </c:xVal>
          <c:yVal>
            <c:numRef>
              <c:f>Sheet1!$C$20:$C$27</c:f>
              <c:numCache>
                <c:formatCode>General</c:formatCode>
                <c:ptCount val="8"/>
                <c:pt idx="0">
                  <c:v>279.50154486026292</c:v>
                </c:pt>
                <c:pt idx="1">
                  <c:v>250.16610574956479</c:v>
                </c:pt>
                <c:pt idx="2">
                  <c:v>220.01579333023614</c:v>
                </c:pt>
                <c:pt idx="3">
                  <c:v>199.64396061447354</c:v>
                </c:pt>
                <c:pt idx="4">
                  <c:v>180.08700120734142</c:v>
                </c:pt>
                <c:pt idx="5">
                  <c:v>149.93668878801276</c:v>
                </c:pt>
                <c:pt idx="6">
                  <c:v>119.78637636868412</c:v>
                </c:pt>
                <c:pt idx="7">
                  <c:v>100.22941696155202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1E-4D0A-82B6-96835979C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891840"/>
        <c:axId val="846896832"/>
      </c:scatterChart>
      <c:valAx>
        <c:axId val="84689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baseline="0">
                    <a:effectLst/>
                  </a:rPr>
                  <a:t>N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6896832"/>
        <c:crosses val="autoZero"/>
        <c:crossBetween val="midCat"/>
      </c:valAx>
      <c:valAx>
        <c:axId val="846896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baseline="0">
                    <a:effectLst/>
                  </a:rPr>
                  <a:t>Fracture Stress (MPa)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46891840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373380</xdr:colOff>
      <xdr:row>7</xdr:row>
      <xdr:rowOff>171450</xdr:rowOff>
    </xdr:from>
    <xdr:to>
      <xdr:col>18</xdr:col>
      <xdr:colOff>68580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7D80C-90D1-4DEB-A4A1-D03D6D07B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82" zoomScaleNormal="82" workbookViewId="0">
      <selection activeCell="S28" sqref="S28"/>
    </sheetView>
  </sheetViews>
  <sheetFormatPr defaultRowHeight="14.4" x14ac:dyDescent="0.3"/>
  <cols>
    <col min="1" max="1" width="19.44140625" customWidth="1"/>
  </cols>
  <sheetData>
    <row r="1" spans="1:9" x14ac:dyDescent="0.3">
      <c r="A1">
        <v>343</v>
      </c>
      <c r="B1">
        <v>1</v>
      </c>
    </row>
    <row r="2" spans="1:9" x14ac:dyDescent="0.3">
      <c r="A2">
        <v>307</v>
      </c>
      <c r="B2">
        <v>2</v>
      </c>
    </row>
    <row r="3" spans="1:9" x14ac:dyDescent="0.3">
      <c r="A3">
        <v>270</v>
      </c>
      <c r="B3">
        <v>5</v>
      </c>
    </row>
    <row r="4" spans="1:9" x14ac:dyDescent="0.3">
      <c r="A4">
        <v>245</v>
      </c>
      <c r="B4">
        <v>12</v>
      </c>
    </row>
    <row r="5" spans="1:9" x14ac:dyDescent="0.3">
      <c r="A5">
        <v>221</v>
      </c>
      <c r="B5">
        <v>25</v>
      </c>
    </row>
    <row r="6" spans="1:9" x14ac:dyDescent="0.3">
      <c r="A6">
        <v>184</v>
      </c>
      <c r="B6">
        <v>60</v>
      </c>
    </row>
    <row r="7" spans="1:9" x14ac:dyDescent="0.3">
      <c r="A7">
        <v>147</v>
      </c>
      <c r="B7">
        <v>120</v>
      </c>
    </row>
    <row r="8" spans="1:9" x14ac:dyDescent="0.3">
      <c r="A8">
        <v>123</v>
      </c>
      <c r="B8">
        <v>210</v>
      </c>
    </row>
    <row r="10" spans="1:9" x14ac:dyDescent="0.3">
      <c r="A10" t="s">
        <v>0</v>
      </c>
      <c r="B10">
        <v>1</v>
      </c>
      <c r="C10">
        <v>2</v>
      </c>
      <c r="D10">
        <v>5</v>
      </c>
      <c r="E10">
        <v>12</v>
      </c>
      <c r="F10">
        <v>25</v>
      </c>
      <c r="G10">
        <v>60</v>
      </c>
      <c r="H10">
        <v>120</v>
      </c>
      <c r="I10">
        <v>210</v>
      </c>
    </row>
    <row r="11" spans="1:9" x14ac:dyDescent="0.3">
      <c r="A11" t="s">
        <v>1</v>
      </c>
      <c r="B11">
        <f>B10*2850</f>
        <v>2850</v>
      </c>
      <c r="C11">
        <f t="shared" ref="C11:I11" si="0">C10*2850</f>
        <v>5700</v>
      </c>
      <c r="D11">
        <f t="shared" si="0"/>
        <v>14250</v>
      </c>
      <c r="E11">
        <f t="shared" si="0"/>
        <v>34200</v>
      </c>
      <c r="F11">
        <f t="shared" si="0"/>
        <v>71250</v>
      </c>
      <c r="G11">
        <f t="shared" si="0"/>
        <v>171000</v>
      </c>
      <c r="H11">
        <f t="shared" si="0"/>
        <v>342000</v>
      </c>
      <c r="I11">
        <f t="shared" si="0"/>
        <v>598500</v>
      </c>
    </row>
    <row r="13" spans="1:9" x14ac:dyDescent="0.3">
      <c r="A13" t="s">
        <v>2</v>
      </c>
      <c r="B13" s="1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</row>
    <row r="14" spans="1:9" x14ac:dyDescent="0.3">
      <c r="A14" t="s">
        <v>3</v>
      </c>
      <c r="B14">
        <v>3430</v>
      </c>
      <c r="C14">
        <v>3070</v>
      </c>
      <c r="D14">
        <v>2700</v>
      </c>
      <c r="E14">
        <v>2450</v>
      </c>
      <c r="F14">
        <v>2210</v>
      </c>
      <c r="G14">
        <v>1840</v>
      </c>
      <c r="H14">
        <v>1470</v>
      </c>
      <c r="I14">
        <v>1230</v>
      </c>
    </row>
    <row r="15" spans="1:9" x14ac:dyDescent="0.3">
      <c r="A15" t="s">
        <v>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</row>
    <row r="16" spans="1:9" x14ac:dyDescent="0.3">
      <c r="A16" t="s">
        <v>5</v>
      </c>
      <c r="B16">
        <f>B14*32/(125*PI())</f>
        <v>279.50154486026292</v>
      </c>
      <c r="C16">
        <f t="shared" ref="C16:I16" si="1">C14*32/(125*PI())</f>
        <v>250.16610574956479</v>
      </c>
      <c r="D16">
        <f t="shared" si="1"/>
        <v>220.01579333023614</v>
      </c>
      <c r="E16">
        <f t="shared" si="1"/>
        <v>199.64396061447354</v>
      </c>
      <c r="F16">
        <f t="shared" si="1"/>
        <v>180.08700120734142</v>
      </c>
      <c r="G16">
        <f t="shared" si="1"/>
        <v>149.93668878801276</v>
      </c>
      <c r="H16">
        <f t="shared" si="1"/>
        <v>119.78637636868412</v>
      </c>
      <c r="I16">
        <f t="shared" si="1"/>
        <v>100.22941696155202</v>
      </c>
    </row>
    <row r="19" spans="1:3" x14ac:dyDescent="0.3">
      <c r="A19" t="s">
        <v>2</v>
      </c>
      <c r="B19" t="s">
        <v>1</v>
      </c>
      <c r="C19" t="s">
        <v>5</v>
      </c>
    </row>
    <row r="20" spans="1:3" x14ac:dyDescent="0.3">
      <c r="A20" s="1">
        <v>1</v>
      </c>
      <c r="B20">
        <f>A20*2850</f>
        <v>2850</v>
      </c>
      <c r="C20">
        <v>279.50154486026292</v>
      </c>
    </row>
    <row r="21" spans="1:3" x14ac:dyDescent="0.3">
      <c r="A21">
        <v>2</v>
      </c>
      <c r="B21">
        <f>A21*2850</f>
        <v>5700</v>
      </c>
      <c r="C21">
        <v>250.16610574956479</v>
      </c>
    </row>
    <row r="22" spans="1:3" x14ac:dyDescent="0.3">
      <c r="A22">
        <v>3</v>
      </c>
      <c r="B22">
        <f>A22*2850</f>
        <v>8550</v>
      </c>
      <c r="C22">
        <v>220.01579333023614</v>
      </c>
    </row>
    <row r="23" spans="1:3" x14ac:dyDescent="0.3">
      <c r="A23">
        <v>4</v>
      </c>
      <c r="B23">
        <f>A23*2850</f>
        <v>11400</v>
      </c>
      <c r="C23">
        <v>199.64396061447354</v>
      </c>
    </row>
    <row r="24" spans="1:3" x14ac:dyDescent="0.3">
      <c r="A24">
        <v>5</v>
      </c>
      <c r="B24">
        <f>A24*2850</f>
        <v>14250</v>
      </c>
      <c r="C24">
        <v>180.08700120734142</v>
      </c>
    </row>
    <row r="25" spans="1:3" x14ac:dyDescent="0.3">
      <c r="A25">
        <v>6</v>
      </c>
      <c r="B25">
        <f>A25*2850</f>
        <v>17100</v>
      </c>
      <c r="C25">
        <v>149.93668878801276</v>
      </c>
    </row>
    <row r="26" spans="1:3" x14ac:dyDescent="0.3">
      <c r="A26">
        <v>7</v>
      </c>
      <c r="B26">
        <f>A26*2850</f>
        <v>19950</v>
      </c>
      <c r="C26">
        <v>119.78637636868412</v>
      </c>
    </row>
    <row r="27" spans="1:3" x14ac:dyDescent="0.3">
      <c r="A27">
        <v>8</v>
      </c>
      <c r="B27">
        <f>A27*2850</f>
        <v>22800</v>
      </c>
      <c r="C27">
        <v>100.22941696155202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Masih</cp:lastModifiedBy>
  <dcterms:created xsi:type="dcterms:W3CDTF">2015-06-05T18:17:20Z</dcterms:created>
  <dcterms:modified xsi:type="dcterms:W3CDTF">2026-01-10T18:08:33Z</dcterms:modified>
</cp:coreProperties>
</file>