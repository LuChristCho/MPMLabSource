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EDU\MPMLab\6\temp\"/>
    </mc:Choice>
  </mc:AlternateContent>
  <xr:revisionPtr revIDLastSave="0" documentId="13_ncr:1_{D621252E-8FFD-4C6E-A167-F601A4E74B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<sst xmlns="http://schemas.openxmlformats.org/spreadsheetml/2006/main" count="5" uniqueCount="5">
  <si>
    <t>Temperature (K)</t>
  </si>
  <si>
    <t>Temperature (C)</t>
  </si>
  <si>
    <t>Energy (J)</t>
  </si>
  <si>
    <t>Ductile Fracture Percentage</t>
  </si>
  <si>
    <t>Thickness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</si>
</sst>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Sheet1!$B$2:$B$6</c:f>
              <c:numCache>
                <c:formatCode>General</c:formatCode>
                <c:ptCount val="5"/>
                <c:pt idx="0">
                  <c:v>268</c:v>
                </c:pt>
                <c:pt idx="1">
                  <c:v>273</c:v>
                </c:pt>
                <c:pt idx="2">
                  <c:v>298</c:v>
                </c:pt>
                <c:pt idx="3">
                  <c:v>343</c:v>
                </c:pt>
                <c:pt idx="4">
                  <c:v>573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70</c:v>
                </c:pt>
                <c:pt idx="1">
                  <c:v>22</c:v>
                </c:pt>
                <c:pt idx="2">
                  <c:v>44</c:v>
                </c:pt>
                <c:pt idx="3">
                  <c:v>53</c:v>
                </c:pt>
                <c:pt idx="4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63-403B-B7CD-C41A7F861F74}"/>
            </c:ext>
          </c:extLst>
        </c:ser>
        <c:ser>
          <c:idx val="1"/>
          <c:order val="1"/>
          <c:tx>
            <c:v>Trend Line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Sheet1!$B$9:$B$19</c:f>
              <c:numCache>
                <c:formatCode>General</c:formatCode>
                <c:ptCount val="11"/>
                <c:pt idx="0">
                  <c:v>201.02</c:v>
                </c:pt>
                <c:pt idx="1">
                  <c:v>209.04</c:v>
                </c:pt>
                <c:pt idx="2">
                  <c:v>224.43</c:v>
                </c:pt>
                <c:pt idx="3">
                  <c:v>245.94</c:v>
                </c:pt>
                <c:pt idx="4">
                  <c:v>271.83</c:v>
                </c:pt>
                <c:pt idx="5">
                  <c:v>300</c:v>
                </c:pt>
                <c:pt idx="6">
                  <c:v>328.17</c:v>
                </c:pt>
                <c:pt idx="7">
                  <c:v>354.06</c:v>
                </c:pt>
                <c:pt idx="8">
                  <c:v>375.57</c:v>
                </c:pt>
                <c:pt idx="9">
                  <c:v>390.96</c:v>
                </c:pt>
                <c:pt idx="10">
                  <c:v>398.98</c:v>
                </c:pt>
              </c:numCache>
            </c:numRef>
          </c:xVal>
          <c:yVal>
            <c:numRef>
              <c:f>Sheet1!$A$9:$A$19</c:f>
              <c:numCache>
                <c:formatCode>General</c:formatCode>
                <c:ptCount val="11"/>
                <c:pt idx="0">
                  <c:v>12</c:v>
                </c:pt>
                <c:pt idx="1">
                  <c:v>11.5</c:v>
                </c:pt>
                <c:pt idx="2">
                  <c:v>10</c:v>
                </c:pt>
                <c:pt idx="3">
                  <c:v>10.5</c:v>
                </c:pt>
                <c:pt idx="4">
                  <c:v>20</c:v>
                </c:pt>
                <c:pt idx="5">
                  <c:v>45</c:v>
                </c:pt>
                <c:pt idx="6">
                  <c:v>51</c:v>
                </c:pt>
                <c:pt idx="7">
                  <c:v>53</c:v>
                </c:pt>
                <c:pt idx="8">
                  <c:v>51.5</c:v>
                </c:pt>
                <c:pt idx="9">
                  <c:v>51</c:v>
                </c:pt>
                <c:pt idx="10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63-403B-B7CD-C41A7F861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331024"/>
        <c:axId val="1866328944"/>
      </c:scatterChart>
      <c:valAx>
        <c:axId val="1866331024"/>
        <c:scaling>
          <c:orientation val="minMax"/>
          <c:max val="650"/>
          <c:min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Temperature (K)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66328944"/>
        <c:crosses val="autoZero"/>
        <c:crossBetween val="midCat"/>
      </c:valAx>
      <c:valAx>
        <c:axId val="1866328944"/>
        <c:scaling>
          <c:orientation val="minMax"/>
          <c:max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Impact Energy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6633102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762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Sheet1!$B$23:$B$27</c:f>
              <c:numCache>
                <c:formatCode>General</c:formatCode>
                <c:ptCount val="5"/>
                <c:pt idx="0">
                  <c:v>268</c:v>
                </c:pt>
                <c:pt idx="1">
                  <c:v>273</c:v>
                </c:pt>
                <c:pt idx="2">
                  <c:v>298</c:v>
                </c:pt>
                <c:pt idx="3">
                  <c:v>343</c:v>
                </c:pt>
                <c:pt idx="4">
                  <c:v>573</c:v>
                </c:pt>
              </c:numCache>
            </c:numRef>
          </c:xVal>
          <c:yVal>
            <c:numRef>
              <c:f>Sheet1!$C$23:$C$27</c:f>
              <c:numCache>
                <c:formatCode>0.00%</c:formatCode>
                <c:ptCount val="5"/>
                <c:pt idx="0">
                  <c:v>0.9</c:v>
                </c:pt>
                <c:pt idx="1">
                  <c:v>0.8</c:v>
                </c:pt>
                <c:pt idx="2">
                  <c:v>0.30000000000000004</c:v>
                </c:pt>
                <c:pt idx="3">
                  <c:v>0.19999999999999996</c:v>
                </c:pt>
                <c:pt idx="4">
                  <c:v>9.9999999999999978E-2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54-4D72-9422-F24DD48075C0}"/>
            </c:ext>
          </c:extLst>
        </c:ser>
        <c:ser>
          <c:idx val="1"/>
          <c:order val="1"/>
          <c:tx>
            <c:v>Trend Line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Sheet1!$C$31:$C$41</c:f>
              <c:numCache>
                <c:formatCode>General</c:formatCode>
                <c:ptCount val="11"/>
                <c:pt idx="0">
                  <c:v>250</c:v>
                </c:pt>
                <c:pt idx="1">
                  <c:v>268</c:v>
                </c:pt>
                <c:pt idx="2">
                  <c:v>273</c:v>
                </c:pt>
                <c:pt idx="3">
                  <c:v>285</c:v>
                </c:pt>
                <c:pt idx="4">
                  <c:v>298</c:v>
                </c:pt>
                <c:pt idx="5">
                  <c:v>343</c:v>
                </c:pt>
                <c:pt idx="6">
                  <c:v>480</c:v>
                </c:pt>
                <c:pt idx="7">
                  <c:v>573</c:v>
                </c:pt>
                <c:pt idx="8">
                  <c:v>600</c:v>
                </c:pt>
                <c:pt idx="9">
                  <c:v>620</c:v>
                </c:pt>
                <c:pt idx="10">
                  <c:v>650</c:v>
                </c:pt>
              </c:numCache>
            </c:numRef>
          </c:xVal>
          <c:yVal>
            <c:numRef>
              <c:f>Sheet1!$D$31:$D$41</c:f>
              <c:numCache>
                <c:formatCode>General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0.5</c:v>
                </c:pt>
                <c:pt idx="4">
                  <c:v>0.3</c:v>
                </c:pt>
                <c:pt idx="5">
                  <c:v>0.2</c:v>
                </c:pt>
                <c:pt idx="6">
                  <c:v>0.13</c:v>
                </c:pt>
                <c:pt idx="7">
                  <c:v>0.1</c:v>
                </c:pt>
                <c:pt idx="8">
                  <c:v>7.3999999999999996E-2</c:v>
                </c:pt>
                <c:pt idx="9">
                  <c:v>0.05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54-4D72-9422-F24DD4807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989184"/>
        <c:axId val="1926999584"/>
      </c:scatterChart>
      <c:valAx>
        <c:axId val="192698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6999584"/>
        <c:crosses val="autoZero"/>
        <c:crossBetween val="midCat"/>
      </c:valAx>
      <c:valAx>
        <c:axId val="1926999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baseline="0"/>
                  <a:t>%Cleavage fracture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698918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Sheet1!$A$44:$A$47</c:f>
              <c:numCache>
                <c:formatCode>General</c:formatCode>
                <c:ptCount val="4"/>
                <c:pt idx="0">
                  <c:v>268</c:v>
                </c:pt>
                <c:pt idx="1">
                  <c:v>273</c:v>
                </c:pt>
                <c:pt idx="2">
                  <c:v>298</c:v>
                </c:pt>
                <c:pt idx="3">
                  <c:v>343</c:v>
                </c:pt>
              </c:numCache>
            </c:numRef>
          </c:xVal>
          <c:yVal>
            <c:numRef>
              <c:f>Sheet1!$B$44:$B$47</c:f>
              <c:numCache>
                <c:formatCode>General</c:formatCode>
                <c:ptCount val="4"/>
                <c:pt idx="0">
                  <c:v>0</c:v>
                </c:pt>
                <c:pt idx="1">
                  <c:v>0.24</c:v>
                </c:pt>
                <c:pt idx="2">
                  <c:v>0.66</c:v>
                </c:pt>
                <c:pt idx="3">
                  <c:v>0.76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AF-46A1-9039-44DB735AB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888880"/>
        <c:axId val="1743902608"/>
      </c:scatterChart>
      <c:valAx>
        <c:axId val="1743888880"/>
        <c:scaling>
          <c:orientation val="minMax"/>
          <c:max val="400"/>
          <c:min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Temperature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43902608"/>
        <c:crosses val="autoZero"/>
        <c:crossBetween val="midCat"/>
      </c:valAx>
      <c:valAx>
        <c:axId val="1743902608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Elongation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43888880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324485</xdr:colOff>
      <xdr:row>0</xdr:row>
      <xdr:rowOff>106362</xdr:rowOff>
    </xdr:from>
    <xdr:to>
      <xdr:col>13</xdr:col>
      <xdr:colOff>499745</xdr:colOff>
      <xdr:row>14</xdr:row>
      <xdr:rowOff>144462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418687-BB61-4ECC-AD65-B132E95B3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103187</xdr:colOff>
      <xdr:row>16</xdr:row>
      <xdr:rowOff>156368</xdr:rowOff>
    </xdr:from>
    <xdr:to>
      <xdr:col>13</xdr:col>
      <xdr:colOff>293687</xdr:colOff>
      <xdr:row>28</xdr:row>
      <xdr:rowOff>166688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73A804-84EC-4010-9E6D-BA9213C01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1071563</xdr:colOff>
      <xdr:row>32</xdr:row>
      <xdr:rowOff>124619</xdr:rowOff>
    </xdr:from>
    <xdr:to>
      <xdr:col>11</xdr:col>
      <xdr:colOff>571500</xdr:colOff>
      <xdr:row>47</xdr:row>
      <xdr:rowOff>129381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E2CD2B-39AF-4A3C-AB4F-F2131534F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5" zoomScale="96" zoomScaleNormal="96" workbookViewId="0">
      <selection activeCell="O38" sqref="O38"/>
    </sheetView>
  </sheetViews>
  <sheetFormatPr defaultRowHeight="14.4" x14ac:dyDescent="0.3"/>
  <cols>
    <col min="1" max="2" width="15.88671875" customWidth="1"/>
    <col min="3" max="3" width="11.21875" customWidth="1"/>
    <col min="4" max="4" width="14" customWidth="1"/>
    <col min="5" max="5" width="25.5546875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4</v>
      </c>
      <c r="E1" t="s">
        <v>3</v>
      </c>
    </row>
    <row r="2" spans="1:5" x14ac:dyDescent="0.3">
      <c r="A2">
        <v>-5</v>
      </c>
      <c r="B2">
        <f>A2+273</f>
        <v>268</v>
      </c>
      <c r="C2">
        <v>70</v>
      </c>
      <c r="D2">
        <v>10</v>
      </c>
      <c r="E2" s="1">
        <v>0.1</v>
      </c>
    </row>
    <row r="3" spans="1:5" x14ac:dyDescent="0.3">
      <c r="A3">
        <v>0</v>
      </c>
      <c r="B3">
        <f t="shared" ref="B3:B6" si="0">A3+273</f>
        <v>273</v>
      </c>
      <c r="C3">
        <v>22</v>
      </c>
      <c r="D3">
        <v>10.24</v>
      </c>
      <c r="E3" s="1">
        <v>0.2</v>
      </c>
    </row>
    <row r="4" spans="1:5" x14ac:dyDescent="0.3">
      <c r="A4">
        <v>25</v>
      </c>
      <c r="B4">
        <f t="shared" si="0"/>
        <v>298</v>
      </c>
      <c r="C4">
        <v>44</v>
      </c>
      <c r="D4">
        <v>10.66</v>
      </c>
      <c r="E4" s="1">
        <v>0.7</v>
      </c>
    </row>
    <row r="5" spans="1:5" x14ac:dyDescent="0.3">
      <c r="A5">
        <v>70</v>
      </c>
      <c r="B5">
        <f t="shared" si="0"/>
        <v>343</v>
      </c>
      <c r="C5">
        <v>53</v>
      </c>
      <c r="D5">
        <v>10.76</v>
      </c>
      <c r="E5" s="1">
        <v>0.8</v>
      </c>
    </row>
    <row r="6" spans="1:5" x14ac:dyDescent="0.3">
      <c r="A6">
        <v>300</v>
      </c>
      <c r="B6">
        <f t="shared" si="0"/>
        <v>573</v>
      </c>
      <c r="C6">
        <v>50</v>
      </c>
      <c r="E6" s="1">
        <v>0.9</v>
      </c>
    </row>
    <row r="9" spans="1:5" x14ac:dyDescent="0.3">
      <c r="A9">
        <v>12</v>
      </c>
      <c r="B9">
        <v>201.02</v>
      </c>
    </row>
    <row r="10" spans="1:5" x14ac:dyDescent="0.3">
      <c r="A10">
        <v>11.5</v>
      </c>
      <c r="B10">
        <v>209.04</v>
      </c>
    </row>
    <row r="11" spans="1:5" x14ac:dyDescent="0.3">
      <c r="A11">
        <v>10</v>
      </c>
      <c r="B11">
        <v>224.43</v>
      </c>
    </row>
    <row r="12" spans="1:5" x14ac:dyDescent="0.3">
      <c r="A12">
        <v>10.5</v>
      </c>
      <c r="B12">
        <v>245.94</v>
      </c>
      <c r="D12" s="1">
        <f>1-E2</f>
        <v>0.9</v>
      </c>
      <c r="E12">
        <v>268</v>
      </c>
    </row>
    <row r="13" spans="1:5" x14ac:dyDescent="0.3">
      <c r="A13">
        <v>20</v>
      </c>
      <c r="B13">
        <v>271.83</v>
      </c>
      <c r="D13" s="1">
        <f t="shared" ref="D13:D16" si="1">1-E3</f>
        <v>0.8</v>
      </c>
      <c r="E13">
        <v>273</v>
      </c>
    </row>
    <row r="14" spans="1:5" x14ac:dyDescent="0.3">
      <c r="A14">
        <v>45</v>
      </c>
      <c r="B14">
        <v>300</v>
      </c>
      <c r="D14" s="1">
        <f t="shared" si="1"/>
        <v>0.30000000000000004</v>
      </c>
      <c r="E14">
        <v>298</v>
      </c>
    </row>
    <row r="15" spans="1:5" x14ac:dyDescent="0.3">
      <c r="A15">
        <v>51</v>
      </c>
      <c r="B15">
        <v>328.17</v>
      </c>
      <c r="D15" s="1">
        <f t="shared" si="1"/>
        <v>0.19999999999999996</v>
      </c>
      <c r="E15">
        <v>343</v>
      </c>
    </row>
    <row r="16" spans="1:5" x14ac:dyDescent="0.3">
      <c r="A16">
        <v>53</v>
      </c>
      <c r="B16">
        <v>354.06</v>
      </c>
      <c r="D16" s="1">
        <f t="shared" si="1"/>
        <v>9.9999999999999978E-2</v>
      </c>
      <c r="E16">
        <v>573</v>
      </c>
    </row>
    <row r="17" spans="1:4" x14ac:dyDescent="0.3">
      <c r="A17">
        <v>51.5</v>
      </c>
      <c r="B17">
        <v>375.57</v>
      </c>
      <c r="D17" s="1"/>
    </row>
    <row r="18" spans="1:4" x14ac:dyDescent="0.3">
      <c r="A18">
        <v>51</v>
      </c>
      <c r="B18">
        <v>390.96</v>
      </c>
    </row>
    <row r="19" spans="1:4" x14ac:dyDescent="0.3">
      <c r="A19">
        <v>50</v>
      </c>
      <c r="B19">
        <v>398.98</v>
      </c>
    </row>
    <row r="23" spans="1:4" x14ac:dyDescent="0.3">
      <c r="B23">
        <v>268</v>
      </c>
      <c r="C23" s="1">
        <v>0.9</v>
      </c>
    </row>
    <row r="24" spans="1:4" x14ac:dyDescent="0.3">
      <c r="B24">
        <v>273</v>
      </c>
      <c r="C24" s="1">
        <v>0.8</v>
      </c>
    </row>
    <row r="25" spans="1:4" x14ac:dyDescent="0.3">
      <c r="B25">
        <v>298</v>
      </c>
      <c r="C25" s="1">
        <v>0.30000000000000004</v>
      </c>
    </row>
    <row r="26" spans="1:4" x14ac:dyDescent="0.3">
      <c r="B26">
        <v>343</v>
      </c>
      <c r="C26" s="1">
        <v>0.19999999999999996</v>
      </c>
    </row>
    <row r="27" spans="1:4" x14ac:dyDescent="0.3">
      <c r="B27">
        <v>573</v>
      </c>
      <c r="C27" s="1">
        <v>9.9999999999999978E-2</v>
      </c>
    </row>
    <row r="31" spans="1:4" x14ac:dyDescent="0.3">
      <c r="C31">
        <v>250</v>
      </c>
      <c r="D31">
        <v>1</v>
      </c>
    </row>
    <row r="32" spans="1:4" x14ac:dyDescent="0.3">
      <c r="C32">
        <v>268</v>
      </c>
      <c r="D32">
        <v>0.9</v>
      </c>
    </row>
    <row r="33" spans="1:4" x14ac:dyDescent="0.3">
      <c r="C33">
        <v>273</v>
      </c>
      <c r="D33">
        <v>0.8</v>
      </c>
    </row>
    <row r="34" spans="1:4" x14ac:dyDescent="0.3">
      <c r="C34">
        <v>285</v>
      </c>
      <c r="D34">
        <v>0.5</v>
      </c>
    </row>
    <row r="35" spans="1:4" x14ac:dyDescent="0.3">
      <c r="C35">
        <v>298</v>
      </c>
      <c r="D35">
        <v>0.3</v>
      </c>
    </row>
    <row r="36" spans="1:4" x14ac:dyDescent="0.3">
      <c r="C36">
        <v>343</v>
      </c>
      <c r="D36">
        <v>0.2</v>
      </c>
    </row>
    <row r="37" spans="1:4" x14ac:dyDescent="0.3">
      <c r="C37">
        <v>480</v>
      </c>
      <c r="D37">
        <v>0.13</v>
      </c>
    </row>
    <row r="38" spans="1:4" x14ac:dyDescent="0.3">
      <c r="C38">
        <v>573</v>
      </c>
      <c r="D38">
        <v>0.1</v>
      </c>
    </row>
    <row r="39" spans="1:4" x14ac:dyDescent="0.3">
      <c r="C39">
        <v>600</v>
      </c>
      <c r="D39">
        <v>7.3999999999999996E-2</v>
      </c>
    </row>
    <row r="40" spans="1:4" x14ac:dyDescent="0.3">
      <c r="C40">
        <v>620</v>
      </c>
      <c r="D40">
        <v>0.05</v>
      </c>
    </row>
    <row r="41" spans="1:4" x14ac:dyDescent="0.3">
      <c r="C41">
        <v>650</v>
      </c>
      <c r="D41">
        <v>0</v>
      </c>
    </row>
    <row r="44" spans="1:4" x14ac:dyDescent="0.3">
      <c r="A44">
        <v>268</v>
      </c>
      <c r="B44">
        <v>0</v>
      </c>
    </row>
    <row r="45" spans="1:4" x14ac:dyDescent="0.3">
      <c r="A45">
        <v>273</v>
      </c>
      <c r="B45">
        <v>0.24</v>
      </c>
    </row>
    <row r="46" spans="1:4" x14ac:dyDescent="0.3">
      <c r="A46">
        <v>298</v>
      </c>
      <c r="B46">
        <v>0.66</v>
      </c>
    </row>
    <row r="47" spans="1:4" x14ac:dyDescent="0.3">
      <c r="A47">
        <v>343</v>
      </c>
      <c r="B47">
        <v>0.76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Masih</cp:lastModifiedBy>
  <dcterms:created xsi:type="dcterms:W3CDTF">2015-06-05T18:17:20Z</dcterms:created>
  <dcterms:modified xsi:type="dcterms:W3CDTF">2026-01-09T08:56:03Z</dcterms:modified>
</cp:coreProperties>
</file>