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EDU\MPMLab\3\"/>
    </mc:Choice>
  </mc:AlternateContent>
  <xr:revisionPtr revIDLastSave="0" documentId="13_ncr:1_{69982081-E424-441C-94E6-DA4FE078C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" i="1" l="1" a="1"/>
  <c r="A29" i="1" s="1"/>
  <c r="A7" i="1" a="1"/>
  <c r="A7" i="1" s="1"/>
  <c r="B7" i="1" a="1"/>
  <c r="B7" i="1" s="1"/>
  <c r="B2" i="1"/>
  <c r="C2" i="1"/>
  <c r="D2" i="1"/>
  <c r="E2" i="1"/>
  <c r="F2" i="1"/>
  <c r="G2" i="1"/>
  <c r="H2" i="1"/>
  <c r="I2" i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<sst xmlns="http://schemas.openxmlformats.org/spreadsheetml/2006/main" count="1" uniqueCount="1">
  <si>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64, 59, 56, 52, 49, 46, 44, 42, 40, 39, 37, 35, 34, 33, 33, 32, 31, 30, 29, 28, 26, 25, 23, 22, 21, 20, 18, 18, 19, 18, 18, 17, 17, 17, 17, 18, 17, 17, 17, 16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</si>
</sst>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40336796743387E-2"/>
          <c:y val="0.12078703703703704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Sheet1!$B$7:$B$15</c:f>
              <c:numCache>
                <c:formatCode>General</c:formatCode>
                <c:ptCount val="9"/>
                <c:pt idx="0">
                  <c:v>1</c:v>
                </c:pt>
                <c:pt idx="1">
                  <c:v>2.375</c:v>
                </c:pt>
                <c:pt idx="2">
                  <c:v>3.75</c:v>
                </c:pt>
                <c:pt idx="3">
                  <c:v>5.125</c:v>
                </c:pt>
                <c:pt idx="4">
                  <c:v>6.5</c:v>
                </c:pt>
                <c:pt idx="5">
                  <c:v>7.875</c:v>
                </c:pt>
                <c:pt idx="6">
                  <c:v>9.25</c:v>
                </c:pt>
                <c:pt idx="7">
                  <c:v>10.625</c:v>
                </c:pt>
                <c:pt idx="8">
                  <c:v>12</c:v>
                </c:pt>
              </c:numCache>
            </c:numRef>
          </c:xVal>
          <c:yVal>
            <c:numRef>
              <c:f>Sheet1!$C$7:$C$15</c:f>
              <c:numCache>
                <c:formatCode>General</c:formatCode>
                <c:ptCount val="9"/>
                <c:pt idx="0">
                  <c:v>213.840830449827</c:v>
                </c:pt>
                <c:pt idx="1">
                  <c:v>209.7087378640777</c:v>
                </c:pt>
                <c:pt idx="2">
                  <c:v>201.79591836734696</c:v>
                </c:pt>
                <c:pt idx="3">
                  <c:v>190.74074074074073</c:v>
                </c:pt>
                <c:pt idx="4">
                  <c:v>187.25696490194426</c:v>
                </c:pt>
                <c:pt idx="5">
                  <c:v>194.32264826622415</c:v>
                </c:pt>
                <c:pt idx="6">
                  <c:v>198.0064079743681</c:v>
                </c:pt>
                <c:pt idx="7">
                  <c:v>205.69526627218934</c:v>
                </c:pt>
                <c:pt idx="8">
                  <c:v>213.840830449827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F-4B6B-9C1D-D838288A4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259791"/>
        <c:axId val="976276431"/>
      </c:scatterChart>
      <c:valAx>
        <c:axId val="97625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Distance from compression edge</a:t>
                </a:r>
                <a:r>
                  <a:rPr lang="fa-IR"/>
                  <a:t> </a:t>
                </a:r>
                <a:r>
                  <a:rPr lang="en-US"/>
                  <a:t>(mm)</a:t>
                </a:r>
              </a:p>
            </c:rich>
          </c:tx>
          <c:layout>
            <c:manualLayout>
              <c:xMode val="edge"/>
              <c:yMode val="edge"/>
              <c:x val="0.34986316276581131"/>
              <c:y val="0.905617526975794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6276431"/>
        <c:crosses val="autoZero"/>
        <c:crossBetween val="midCat"/>
      </c:valAx>
      <c:valAx>
        <c:axId val="976276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VHN</a:t>
                </a:r>
              </a:p>
            </c:rich>
          </c:tx>
          <c:layout>
            <c:manualLayout>
              <c:xMode val="edge"/>
              <c:yMode val="edge"/>
              <c:x val="6.2014200704250816E-3"/>
              <c:y val="0.4433603091280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625979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Sheet1!$A$29:$A$68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Sheet1!$B$29:$B$68</c:f>
              <c:numCache>
                <c:formatCode>General</c:formatCode>
                <c:ptCount val="40"/>
                <c:pt idx="0">
                  <c:v>64</c:v>
                </c:pt>
                <c:pt idx="1">
                  <c:v>59</c:v>
                </c:pt>
                <c:pt idx="2">
                  <c:v>56</c:v>
                </c:pt>
                <c:pt idx="3">
                  <c:v>52</c:v>
                </c:pt>
                <c:pt idx="4">
                  <c:v>49</c:v>
                </c:pt>
                <c:pt idx="5">
                  <c:v>46</c:v>
                </c:pt>
                <c:pt idx="6">
                  <c:v>44</c:v>
                </c:pt>
                <c:pt idx="7">
                  <c:v>42</c:v>
                </c:pt>
                <c:pt idx="8">
                  <c:v>40</c:v>
                </c:pt>
                <c:pt idx="9">
                  <c:v>39</c:v>
                </c:pt>
                <c:pt idx="10">
                  <c:v>37</c:v>
                </c:pt>
                <c:pt idx="11">
                  <c:v>35</c:v>
                </c:pt>
                <c:pt idx="12">
                  <c:v>34</c:v>
                </c:pt>
                <c:pt idx="13">
                  <c:v>33</c:v>
                </c:pt>
                <c:pt idx="14">
                  <c:v>33</c:v>
                </c:pt>
                <c:pt idx="15">
                  <c:v>32</c:v>
                </c:pt>
                <c:pt idx="16">
                  <c:v>31</c:v>
                </c:pt>
                <c:pt idx="17">
                  <c:v>30</c:v>
                </c:pt>
                <c:pt idx="18">
                  <c:v>29</c:v>
                </c:pt>
                <c:pt idx="19">
                  <c:v>28</c:v>
                </c:pt>
                <c:pt idx="20">
                  <c:v>26</c:v>
                </c:pt>
                <c:pt idx="21">
                  <c:v>25</c:v>
                </c:pt>
                <c:pt idx="22">
                  <c:v>23</c:v>
                </c:pt>
                <c:pt idx="23">
                  <c:v>22</c:v>
                </c:pt>
                <c:pt idx="24">
                  <c:v>21</c:v>
                </c:pt>
                <c:pt idx="25">
                  <c:v>20</c:v>
                </c:pt>
                <c:pt idx="26">
                  <c:v>18</c:v>
                </c:pt>
                <c:pt idx="27">
                  <c:v>18</c:v>
                </c:pt>
                <c:pt idx="28">
                  <c:v>19</c:v>
                </c:pt>
                <c:pt idx="29">
                  <c:v>18</c:v>
                </c:pt>
                <c:pt idx="30">
                  <c:v>18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3-4E8D-AD5E-EA6D0A42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733487"/>
        <c:axId val="1042730159"/>
      </c:scatterChart>
      <c:valAx>
        <c:axId val="10427334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Distance from the quick-cooled 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42730159"/>
        <c:crosses val="autoZero"/>
        <c:crossBetween val="midCat"/>
      </c:valAx>
      <c:valAx>
        <c:axId val="1042730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HRC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40958333333333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4273348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8</xdr:row>
      <xdr:rowOff>95250</xdr:rowOff>
    </xdr:from>
    <xdr:to>
      <xdr:col>13</xdr:col>
      <xdr:colOff>160020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556205-7864-433B-BFE2-AACAC9520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457200</xdr:colOff>
      <xdr:row>30</xdr:row>
      <xdr:rowOff>19050</xdr:rowOff>
    </xdr:from>
    <xdr:to>
      <xdr:col>11</xdr:col>
      <xdr:colOff>152400</xdr:colOff>
      <xdr:row>45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B2B1FA-5B0E-4FC9-8EAA-905D023C4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0"/>
  <sheetViews>
    <sheetView tabSelected="1" topLeftCell="A28" workbookViewId="0">
      <selection activeCell="M37" sqref="M37"/>
    </sheetView>
  </sheetViews>
  <sheetFormatPr defaultRowHeight="14.4" x14ac:dyDescent="0.3"/>
  <sheetData>
    <row r="1" spans="1:9" x14ac:dyDescent="0.3">
      <c r="A1">
        <v>0.51</v>
      </c>
      <c r="B1">
        <v>0.51500000000000001</v>
      </c>
      <c r="C1">
        <v>0.52500000000000002</v>
      </c>
      <c r="D1">
        <v>0.54</v>
      </c>
      <c r="E1">
        <v>0.54500000000000004</v>
      </c>
      <c r="F1">
        <v>0.53500000000000003</v>
      </c>
      <c r="G1">
        <v>0.53</v>
      </c>
      <c r="H1">
        <v>0.52</v>
      </c>
      <c r="I1">
        <v>0.51</v>
      </c>
    </row>
    <row r="2" spans="1:9" x14ac:dyDescent="0.3">
      <c r="A2">
        <f>1.854*30/(A1^2)</f>
        <v>213.840830449827</v>
      </c>
      <c r="B2">
        <f t="shared" ref="B2:I2" si="0">1.854*30/(B1^2)</f>
        <v>209.7087378640777</v>
      </c>
      <c r="C2">
        <f t="shared" si="0"/>
        <v>201.79591836734696</v>
      </c>
      <c r="D2">
        <f t="shared" si="0"/>
        <v>190.74074074074073</v>
      </c>
      <c r="E2">
        <f t="shared" si="0"/>
        <v>187.25696490194426</v>
      </c>
      <c r="F2">
        <f t="shared" si="0"/>
        <v>194.32264826622415</v>
      </c>
      <c r="G2">
        <f t="shared" si="0"/>
        <v>198.0064079743681</v>
      </c>
      <c r="H2">
        <f t="shared" si="0"/>
        <v>205.69526627218934</v>
      </c>
      <c r="I2">
        <f t="shared" si="0"/>
        <v>213.840830449827</v>
      </c>
    </row>
    <row r="4" spans="1:9" x14ac:dyDescent="0.3">
      <c r="A4" t="s">
        <v>0</v>
      </c>
    </row>
    <row r="7" spans="1:9" x14ac:dyDescent="0.3">
      <c r="A7" cm="1">
        <f t="array" ref="A7:A15">_xlfn.SEQUENCE(9, 1, 1, (12-1)/8)</f>
        <v>1</v>
      </c>
      <c r="B7" cm="1">
        <f t="array" ref="B7:B15">_xlfn.SEQUENCE(9, 1, 1, (12-1)/8)</f>
        <v>1</v>
      </c>
      <c r="C7">
        <v>213.840830449827</v>
      </c>
    </row>
    <row r="8" spans="1:9" x14ac:dyDescent="0.3">
      <c r="A8">
        <v>2.375</v>
      </c>
      <c r="B8">
        <v>2.375</v>
      </c>
      <c r="C8">
        <v>209.7087378640777</v>
      </c>
    </row>
    <row r="9" spans="1:9" x14ac:dyDescent="0.3">
      <c r="A9">
        <v>3.75</v>
      </c>
      <c r="B9">
        <v>3.75</v>
      </c>
      <c r="C9">
        <v>201.79591836734696</v>
      </c>
    </row>
    <row r="10" spans="1:9" x14ac:dyDescent="0.3">
      <c r="A10">
        <v>5.125</v>
      </c>
      <c r="B10">
        <v>5.125</v>
      </c>
      <c r="C10">
        <v>190.74074074074073</v>
      </c>
    </row>
    <row r="11" spans="1:9" x14ac:dyDescent="0.3">
      <c r="A11">
        <v>6.5</v>
      </c>
      <c r="B11">
        <v>6.5</v>
      </c>
      <c r="C11">
        <v>187.25696490194426</v>
      </c>
    </row>
    <row r="12" spans="1:9" x14ac:dyDescent="0.3">
      <c r="A12">
        <v>7.875</v>
      </c>
      <c r="B12">
        <v>7.875</v>
      </c>
      <c r="C12">
        <v>194.32264826622415</v>
      </c>
    </row>
    <row r="13" spans="1:9" x14ac:dyDescent="0.3">
      <c r="A13">
        <v>9.25</v>
      </c>
      <c r="B13">
        <v>9.25</v>
      </c>
      <c r="C13">
        <v>198.0064079743681</v>
      </c>
    </row>
    <row r="14" spans="1:9" x14ac:dyDescent="0.3">
      <c r="A14">
        <v>10.625</v>
      </c>
      <c r="B14">
        <v>10.625</v>
      </c>
      <c r="C14">
        <v>205.69526627218934</v>
      </c>
    </row>
    <row r="15" spans="1:9" x14ac:dyDescent="0.3">
      <c r="A15">
        <v>12</v>
      </c>
      <c r="B15">
        <v>12</v>
      </c>
      <c r="C15">
        <v>213.840830449827</v>
      </c>
    </row>
    <row r="27" spans="1:40" x14ac:dyDescent="0.3">
      <c r="A27">
        <v>64</v>
      </c>
      <c r="B27">
        <v>59</v>
      </c>
      <c r="C27">
        <v>56</v>
      </c>
      <c r="D27">
        <v>52</v>
      </c>
      <c r="E27">
        <v>49</v>
      </c>
      <c r="F27">
        <v>46</v>
      </c>
      <c r="G27">
        <v>44</v>
      </c>
      <c r="H27">
        <v>42</v>
      </c>
      <c r="I27">
        <v>40</v>
      </c>
      <c r="J27">
        <v>39</v>
      </c>
      <c r="K27">
        <v>37</v>
      </c>
      <c r="L27">
        <v>35</v>
      </c>
      <c r="M27">
        <v>34</v>
      </c>
      <c r="N27">
        <v>33</v>
      </c>
      <c r="O27">
        <v>33</v>
      </c>
      <c r="P27">
        <v>32</v>
      </c>
      <c r="Q27">
        <v>31</v>
      </c>
      <c r="R27">
        <v>30</v>
      </c>
      <c r="S27">
        <v>29</v>
      </c>
      <c r="T27">
        <v>28</v>
      </c>
      <c r="U27">
        <v>26</v>
      </c>
      <c r="V27">
        <v>25</v>
      </c>
      <c r="W27">
        <v>23</v>
      </c>
      <c r="X27">
        <v>22</v>
      </c>
      <c r="Y27">
        <v>21</v>
      </c>
      <c r="Z27">
        <v>20</v>
      </c>
      <c r="AA27">
        <v>18</v>
      </c>
      <c r="AB27">
        <v>18</v>
      </c>
      <c r="AC27">
        <v>19</v>
      </c>
      <c r="AD27">
        <v>18</v>
      </c>
      <c r="AE27">
        <v>18</v>
      </c>
      <c r="AF27">
        <v>17</v>
      </c>
      <c r="AG27">
        <v>17</v>
      </c>
      <c r="AH27">
        <v>17</v>
      </c>
      <c r="AI27">
        <v>17</v>
      </c>
      <c r="AJ27">
        <v>18</v>
      </c>
      <c r="AK27">
        <v>17</v>
      </c>
      <c r="AL27">
        <v>17</v>
      </c>
      <c r="AM27">
        <v>17</v>
      </c>
      <c r="AN27">
        <v>16</v>
      </c>
    </row>
    <row r="29" spans="1:40" x14ac:dyDescent="0.3">
      <c r="A29" cm="1">
        <f t="array" ref="A29:A70">_xlfn.SEQUENCE(42, 1, 1, 39/39)</f>
        <v>1</v>
      </c>
      <c r="B29">
        <v>64</v>
      </c>
    </row>
    <row r="30" spans="1:40" x14ac:dyDescent="0.3">
      <c r="A30">
        <v>2</v>
      </c>
      <c r="B30">
        <v>59</v>
      </c>
    </row>
    <row r="31" spans="1:40" x14ac:dyDescent="0.3">
      <c r="A31">
        <v>3</v>
      </c>
      <c r="B31">
        <v>56</v>
      </c>
    </row>
    <row r="32" spans="1:40" x14ac:dyDescent="0.3">
      <c r="A32">
        <v>4</v>
      </c>
      <c r="B32">
        <v>52</v>
      </c>
    </row>
    <row r="33" spans="1:2" x14ac:dyDescent="0.3">
      <c r="A33">
        <v>5</v>
      </c>
      <c r="B33">
        <v>49</v>
      </c>
    </row>
    <row r="34" spans="1:2" x14ac:dyDescent="0.3">
      <c r="A34">
        <v>6</v>
      </c>
      <c r="B34">
        <v>46</v>
      </c>
    </row>
    <row r="35" spans="1:2" x14ac:dyDescent="0.3">
      <c r="A35">
        <v>7</v>
      </c>
      <c r="B35">
        <v>44</v>
      </c>
    </row>
    <row r="36" spans="1:2" x14ac:dyDescent="0.3">
      <c r="A36">
        <v>8</v>
      </c>
      <c r="B36">
        <v>42</v>
      </c>
    </row>
    <row r="37" spans="1:2" x14ac:dyDescent="0.3">
      <c r="A37">
        <v>9</v>
      </c>
      <c r="B37">
        <v>40</v>
      </c>
    </row>
    <row r="38" spans="1:2" x14ac:dyDescent="0.3">
      <c r="A38">
        <v>10</v>
      </c>
      <c r="B38">
        <v>39</v>
      </c>
    </row>
    <row r="39" spans="1:2" x14ac:dyDescent="0.3">
      <c r="A39">
        <v>11</v>
      </c>
      <c r="B39">
        <v>37</v>
      </c>
    </row>
    <row r="40" spans="1:2" x14ac:dyDescent="0.3">
      <c r="A40">
        <v>12</v>
      </c>
      <c r="B40">
        <v>35</v>
      </c>
    </row>
    <row r="41" spans="1:2" x14ac:dyDescent="0.3">
      <c r="A41">
        <v>13</v>
      </c>
      <c r="B41">
        <v>34</v>
      </c>
    </row>
    <row r="42" spans="1:2" x14ac:dyDescent="0.3">
      <c r="A42">
        <v>14</v>
      </c>
      <c r="B42">
        <v>33</v>
      </c>
    </row>
    <row r="43" spans="1:2" x14ac:dyDescent="0.3">
      <c r="A43">
        <v>15</v>
      </c>
      <c r="B43">
        <v>33</v>
      </c>
    </row>
    <row r="44" spans="1:2" x14ac:dyDescent="0.3">
      <c r="A44">
        <v>16</v>
      </c>
      <c r="B44">
        <v>32</v>
      </c>
    </row>
    <row r="45" spans="1:2" x14ac:dyDescent="0.3">
      <c r="A45">
        <v>17</v>
      </c>
      <c r="B45">
        <v>31</v>
      </c>
    </row>
    <row r="46" spans="1:2" x14ac:dyDescent="0.3">
      <c r="A46">
        <v>18</v>
      </c>
      <c r="B46">
        <v>30</v>
      </c>
    </row>
    <row r="47" spans="1:2" x14ac:dyDescent="0.3">
      <c r="A47">
        <v>19</v>
      </c>
      <c r="B47">
        <v>29</v>
      </c>
    </row>
    <row r="48" spans="1:2" x14ac:dyDescent="0.3">
      <c r="A48">
        <v>20</v>
      </c>
      <c r="B48">
        <v>28</v>
      </c>
    </row>
    <row r="49" spans="1:2" x14ac:dyDescent="0.3">
      <c r="A49">
        <v>21</v>
      </c>
      <c r="B49">
        <v>26</v>
      </c>
    </row>
    <row r="50" spans="1:2" x14ac:dyDescent="0.3">
      <c r="A50">
        <v>22</v>
      </c>
      <c r="B50">
        <v>25</v>
      </c>
    </row>
    <row r="51" spans="1:2" x14ac:dyDescent="0.3">
      <c r="A51">
        <v>23</v>
      </c>
      <c r="B51">
        <v>23</v>
      </c>
    </row>
    <row r="52" spans="1:2" x14ac:dyDescent="0.3">
      <c r="A52">
        <v>24</v>
      </c>
      <c r="B52">
        <v>22</v>
      </c>
    </row>
    <row r="53" spans="1:2" x14ac:dyDescent="0.3">
      <c r="A53">
        <v>25</v>
      </c>
      <c r="B53">
        <v>21</v>
      </c>
    </row>
    <row r="54" spans="1:2" x14ac:dyDescent="0.3">
      <c r="A54">
        <v>26</v>
      </c>
      <c r="B54">
        <v>20</v>
      </c>
    </row>
    <row r="55" spans="1:2" x14ac:dyDescent="0.3">
      <c r="A55">
        <v>27</v>
      </c>
      <c r="B55">
        <v>18</v>
      </c>
    </row>
    <row r="56" spans="1:2" x14ac:dyDescent="0.3">
      <c r="A56">
        <v>28</v>
      </c>
      <c r="B56">
        <v>18</v>
      </c>
    </row>
    <row r="57" spans="1:2" x14ac:dyDescent="0.3">
      <c r="A57">
        <v>29</v>
      </c>
      <c r="B57">
        <v>19</v>
      </c>
    </row>
    <row r="58" spans="1:2" x14ac:dyDescent="0.3">
      <c r="A58">
        <v>30</v>
      </c>
      <c r="B58">
        <v>18</v>
      </c>
    </row>
    <row r="59" spans="1:2" x14ac:dyDescent="0.3">
      <c r="A59">
        <v>31</v>
      </c>
      <c r="B59">
        <v>18</v>
      </c>
    </row>
    <row r="60" spans="1:2" x14ac:dyDescent="0.3">
      <c r="A60">
        <v>32</v>
      </c>
      <c r="B60">
        <v>17</v>
      </c>
    </row>
    <row r="61" spans="1:2" x14ac:dyDescent="0.3">
      <c r="A61">
        <v>33</v>
      </c>
      <c r="B61">
        <v>17</v>
      </c>
    </row>
    <row r="62" spans="1:2" x14ac:dyDescent="0.3">
      <c r="A62">
        <v>34</v>
      </c>
      <c r="B62">
        <v>17</v>
      </c>
    </row>
    <row r="63" spans="1:2" x14ac:dyDescent="0.3">
      <c r="A63">
        <v>35</v>
      </c>
      <c r="B63">
        <v>17</v>
      </c>
    </row>
    <row r="64" spans="1:2" x14ac:dyDescent="0.3">
      <c r="A64">
        <v>36</v>
      </c>
      <c r="B64">
        <v>18</v>
      </c>
    </row>
    <row r="65" spans="1:2" x14ac:dyDescent="0.3">
      <c r="A65">
        <v>37</v>
      </c>
      <c r="B65">
        <v>17</v>
      </c>
    </row>
    <row r="66" spans="1:2" x14ac:dyDescent="0.3">
      <c r="A66">
        <v>38</v>
      </c>
      <c r="B66">
        <v>17</v>
      </c>
    </row>
    <row r="67" spans="1:2" x14ac:dyDescent="0.3">
      <c r="A67">
        <v>39</v>
      </c>
      <c r="B67">
        <v>17</v>
      </c>
    </row>
    <row r="68" spans="1:2" x14ac:dyDescent="0.3">
      <c r="A68">
        <v>40</v>
      </c>
      <c r="B68">
        <v>16</v>
      </c>
    </row>
    <row r="69" spans="1:2" x14ac:dyDescent="0.3">
      <c r="A69">
        <v>41</v>
      </c>
    </row>
    <row r="70" spans="1:2" x14ac:dyDescent="0.3">
      <c r="A70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Masih</cp:lastModifiedBy>
  <dcterms:created xsi:type="dcterms:W3CDTF">2015-06-05T18:17:20Z</dcterms:created>
  <dcterms:modified xsi:type="dcterms:W3CDTF">2025-12-09T18:01:26Z</dcterms:modified>
</cp:coreProperties>
</file>